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D:\DocumentsD\ТКвСисЗИ\"/>
    </mc:Choice>
  </mc:AlternateContent>
  <xr:revisionPtr revIDLastSave="0" documentId="13_ncr:1_{A24365AD-E27E-41B7-AB08-9EE47DD78A2B}" xr6:coauthVersionLast="47" xr6:coauthVersionMax="47" xr10:uidLastSave="{00000000-0000-0000-0000-000000000000}"/>
  <bookViews>
    <workbookView xWindow="-108" yWindow="-108" windowWidth="23256" windowHeight="12576" tabRatio="668" activeTab="2" xr2:uid="{00000000-000D-0000-FFFF-FFFF00000000}"/>
  </bookViews>
  <sheets>
    <sheet name="Лист2" sheetId="2" r:id="rId1"/>
    <sheet name="1. Метод деления полиномов" sheetId="1" r:id="rId2"/>
    <sheet name="2.1 Сложение" sheetId="3" r:id="rId3"/>
    <sheet name="2.2 Умножение" sheetId="5" r:id="rId4"/>
    <sheet name="3. Матричный метод" sheetId="4" r:id="rId5"/>
  </sheets>
  <definedNames>
    <definedName name="полином">'2.2 Умножение'!$D$3</definedName>
    <definedName name="табл2">'2.1 Сложение'!$B$3:$D$18</definedName>
    <definedName name="ЦК_бин_таблица">'1. Метод деления полиномов'!$D$19:$H$34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7" i="3" l="1"/>
  <c r="L47" i="3"/>
  <c r="I45" i="3"/>
  <c r="G47" i="3"/>
  <c r="H47" i="3"/>
  <c r="I47" i="3"/>
  <c r="B53" i="3"/>
  <c r="C53" i="3" s="1"/>
  <c r="M47" i="3" s="1"/>
  <c r="B52" i="3"/>
  <c r="C52" i="3" s="1"/>
  <c r="L46" i="3" s="1"/>
  <c r="B51" i="3"/>
  <c r="C51" i="3" s="1"/>
  <c r="K45" i="3" s="1"/>
  <c r="C50" i="3"/>
  <c r="O44" i="3" s="1"/>
  <c r="B50" i="3"/>
  <c r="G44" i="3" s="1"/>
  <c r="B46" i="3"/>
  <c r="C45" i="3" s="1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27" i="4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19" i="1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27" i="4"/>
  <c r="H28" i="4"/>
  <c r="I28" i="4"/>
  <c r="J28" i="4"/>
  <c r="K28" i="4"/>
  <c r="L28" i="4"/>
  <c r="M28" i="4"/>
  <c r="N28" i="4"/>
  <c r="H29" i="4"/>
  <c r="I29" i="4"/>
  <c r="J29" i="4"/>
  <c r="K29" i="4"/>
  <c r="L29" i="4"/>
  <c r="M29" i="4"/>
  <c r="N29" i="4"/>
  <c r="H30" i="4"/>
  <c r="I30" i="4"/>
  <c r="J30" i="4"/>
  <c r="K30" i="4"/>
  <c r="L30" i="4"/>
  <c r="M30" i="4"/>
  <c r="N30" i="4"/>
  <c r="H31" i="4"/>
  <c r="I31" i="4"/>
  <c r="J31" i="4"/>
  <c r="K31" i="4"/>
  <c r="L31" i="4"/>
  <c r="M31" i="4"/>
  <c r="N31" i="4"/>
  <c r="H32" i="4"/>
  <c r="I32" i="4"/>
  <c r="J32" i="4"/>
  <c r="K32" i="4"/>
  <c r="L32" i="4"/>
  <c r="M32" i="4"/>
  <c r="N32" i="4"/>
  <c r="H33" i="4"/>
  <c r="I33" i="4"/>
  <c r="J33" i="4"/>
  <c r="K33" i="4"/>
  <c r="L33" i="4"/>
  <c r="M33" i="4"/>
  <c r="N33" i="4"/>
  <c r="H34" i="4"/>
  <c r="I34" i="4"/>
  <c r="J34" i="4"/>
  <c r="K34" i="4"/>
  <c r="L34" i="4"/>
  <c r="M34" i="4"/>
  <c r="N34" i="4"/>
  <c r="H35" i="4"/>
  <c r="I35" i="4"/>
  <c r="J35" i="4"/>
  <c r="K35" i="4"/>
  <c r="L35" i="4"/>
  <c r="M35" i="4"/>
  <c r="N35" i="4"/>
  <c r="H36" i="4"/>
  <c r="I36" i="4"/>
  <c r="J36" i="4"/>
  <c r="K36" i="4"/>
  <c r="L36" i="4"/>
  <c r="M36" i="4"/>
  <c r="N36" i="4"/>
  <c r="H37" i="4"/>
  <c r="I37" i="4"/>
  <c r="J37" i="4"/>
  <c r="K37" i="4"/>
  <c r="L37" i="4"/>
  <c r="M37" i="4"/>
  <c r="N37" i="4"/>
  <c r="H38" i="4"/>
  <c r="I38" i="4"/>
  <c r="J38" i="4"/>
  <c r="K38" i="4"/>
  <c r="L38" i="4"/>
  <c r="M38" i="4"/>
  <c r="N38" i="4"/>
  <c r="H39" i="4"/>
  <c r="I39" i="4"/>
  <c r="J39" i="4"/>
  <c r="K39" i="4"/>
  <c r="L39" i="4"/>
  <c r="M39" i="4"/>
  <c r="N39" i="4"/>
  <c r="H40" i="4"/>
  <c r="I40" i="4"/>
  <c r="J40" i="4"/>
  <c r="K40" i="4"/>
  <c r="L40" i="4"/>
  <c r="M40" i="4"/>
  <c r="N40" i="4"/>
  <c r="H41" i="4"/>
  <c r="I41" i="4"/>
  <c r="J41" i="4"/>
  <c r="K41" i="4"/>
  <c r="L41" i="4"/>
  <c r="M41" i="4"/>
  <c r="N41" i="4"/>
  <c r="H42" i="4"/>
  <c r="I42" i="4"/>
  <c r="J42" i="4"/>
  <c r="K42" i="4"/>
  <c r="L42" i="4"/>
  <c r="M42" i="4"/>
  <c r="N42" i="4"/>
  <c r="I27" i="4"/>
  <c r="J27" i="4"/>
  <c r="K27" i="4"/>
  <c r="L27" i="4"/>
  <c r="M27" i="4"/>
  <c r="N27" i="4"/>
  <c r="H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27" i="4"/>
  <c r="D29" i="4"/>
  <c r="C30" i="4"/>
  <c r="F30" i="4"/>
  <c r="D31" i="4"/>
  <c r="C32" i="4"/>
  <c r="F32" i="4"/>
  <c r="C34" i="4"/>
  <c r="F34" i="4"/>
  <c r="D35" i="4"/>
  <c r="D37" i="4"/>
  <c r="C38" i="4"/>
  <c r="F38" i="4"/>
  <c r="D39" i="4"/>
  <c r="C40" i="4"/>
  <c r="F40" i="4"/>
  <c r="C42" i="4"/>
  <c r="F42" i="4"/>
  <c r="E27" i="4"/>
  <c r="B28" i="4"/>
  <c r="B29" i="4"/>
  <c r="B30" i="4"/>
  <c r="D30" i="4" s="1"/>
  <c r="B31" i="4"/>
  <c r="B32" i="4"/>
  <c r="D32" i="4" s="1"/>
  <c r="B33" i="4"/>
  <c r="C33" i="4" s="1"/>
  <c r="B34" i="4"/>
  <c r="D34" i="4" s="1"/>
  <c r="B35" i="4"/>
  <c r="C35" i="4" s="1"/>
  <c r="B36" i="4"/>
  <c r="B37" i="4"/>
  <c r="B38" i="4"/>
  <c r="D38" i="4" s="1"/>
  <c r="B39" i="4"/>
  <c r="B40" i="4"/>
  <c r="D40" i="4" s="1"/>
  <c r="B41" i="4"/>
  <c r="C41" i="4" s="1"/>
  <c r="B42" i="4"/>
  <c r="D42" i="4" s="1"/>
  <c r="B27" i="4"/>
  <c r="D27" i="4" s="1"/>
  <c r="Q8" i="4" a="1"/>
  <c r="R8" i="4" s="1"/>
  <c r="Z8" i="4" s="1"/>
  <c r="AK108" i="4"/>
  <c r="AJ108" i="4"/>
  <c r="W108" i="4"/>
  <c r="AE108" i="4" s="1"/>
  <c r="V108" i="4"/>
  <c r="AD108" i="4" s="1"/>
  <c r="U108" i="4"/>
  <c r="AC108" i="4" s="1"/>
  <c r="T108" i="4"/>
  <c r="AB108" i="4" s="1"/>
  <c r="S108" i="4"/>
  <c r="AA108" i="4" s="1"/>
  <c r="R108" i="4"/>
  <c r="Z108" i="4" s="1"/>
  <c r="Q108" i="4"/>
  <c r="Y108" i="4" s="1"/>
  <c r="AK107" i="4"/>
  <c r="AJ107" i="4"/>
  <c r="AC107" i="4"/>
  <c r="AB107" i="4"/>
  <c r="Z107" i="4"/>
  <c r="W107" i="4"/>
  <c r="AE107" i="4" s="1"/>
  <c r="V107" i="4"/>
  <c r="AD107" i="4" s="1"/>
  <c r="U107" i="4"/>
  <c r="T107" i="4"/>
  <c r="S107" i="4"/>
  <c r="AA107" i="4" s="1"/>
  <c r="R107" i="4"/>
  <c r="Q107" i="4"/>
  <c r="Y107" i="4" s="1"/>
  <c r="AK106" i="4"/>
  <c r="AJ106" i="4"/>
  <c r="AE106" i="4"/>
  <c r="W106" i="4"/>
  <c r="V106" i="4"/>
  <c r="AD106" i="4" s="1"/>
  <c r="U106" i="4"/>
  <c r="AC106" i="4" s="1"/>
  <c r="T106" i="4"/>
  <c r="AB106" i="4" s="1"/>
  <c r="S106" i="4"/>
  <c r="AA106" i="4" s="1"/>
  <c r="R106" i="4"/>
  <c r="Z106" i="4" s="1"/>
  <c r="Q106" i="4"/>
  <c r="Y106" i="4" s="1"/>
  <c r="AK105" i="4"/>
  <c r="AJ105" i="4"/>
  <c r="AD105" i="4"/>
  <c r="Z105" i="4"/>
  <c r="Y105" i="4"/>
  <c r="W105" i="4"/>
  <c r="AE105" i="4" s="1"/>
  <c r="V105" i="4"/>
  <c r="U105" i="4"/>
  <c r="AC105" i="4" s="1"/>
  <c r="T105" i="4"/>
  <c r="AB105" i="4" s="1"/>
  <c r="S105" i="4"/>
  <c r="AA105" i="4" s="1"/>
  <c r="R105" i="4"/>
  <c r="Q105" i="4"/>
  <c r="AK104" i="4"/>
  <c r="AJ104" i="4"/>
  <c r="Z104" i="4"/>
  <c r="W104" i="4"/>
  <c r="AE104" i="4" s="1"/>
  <c r="V104" i="4"/>
  <c r="AD104" i="4" s="1"/>
  <c r="U104" i="4"/>
  <c r="AC104" i="4" s="1"/>
  <c r="T104" i="4"/>
  <c r="AB104" i="4" s="1"/>
  <c r="S104" i="4"/>
  <c r="AA104" i="4" s="1"/>
  <c r="R104" i="4"/>
  <c r="Q104" i="4"/>
  <c r="Y104" i="4" s="1"/>
  <c r="AK103" i="4"/>
  <c r="AJ103" i="4"/>
  <c r="AD103" i="4"/>
  <c r="AC103" i="4"/>
  <c r="AB103" i="4"/>
  <c r="W103" i="4"/>
  <c r="AE103" i="4" s="1"/>
  <c r="V103" i="4"/>
  <c r="U103" i="4"/>
  <c r="T103" i="4"/>
  <c r="S103" i="4"/>
  <c r="AA103" i="4" s="1"/>
  <c r="R103" i="4"/>
  <c r="Z103" i="4" s="1"/>
  <c r="Q103" i="4"/>
  <c r="Y103" i="4" s="1"/>
  <c r="AK102" i="4"/>
  <c r="AJ102" i="4"/>
  <c r="W102" i="4"/>
  <c r="AE102" i="4" s="1"/>
  <c r="V102" i="4"/>
  <c r="AD102" i="4" s="1"/>
  <c r="U102" i="4"/>
  <c r="AC102" i="4" s="1"/>
  <c r="T102" i="4"/>
  <c r="AB102" i="4" s="1"/>
  <c r="S102" i="4"/>
  <c r="AA102" i="4" s="1"/>
  <c r="R102" i="4"/>
  <c r="Z102" i="4" s="1"/>
  <c r="Q102" i="4"/>
  <c r="Y102" i="4" s="1"/>
  <c r="AK101" i="4"/>
  <c r="AJ101" i="4"/>
  <c r="AD101" i="4"/>
  <c r="Z101" i="4"/>
  <c r="W101" i="4"/>
  <c r="AE101" i="4" s="1"/>
  <c r="V101" i="4"/>
  <c r="U101" i="4"/>
  <c r="AC101" i="4" s="1"/>
  <c r="T101" i="4"/>
  <c r="AB101" i="4" s="1"/>
  <c r="S101" i="4"/>
  <c r="AA101" i="4" s="1"/>
  <c r="R101" i="4"/>
  <c r="Q101" i="4"/>
  <c r="Y101" i="4" s="1"/>
  <c r="AK100" i="4"/>
  <c r="AJ100" i="4"/>
  <c r="AA100" i="4"/>
  <c r="W100" i="4"/>
  <c r="AE100" i="4" s="1"/>
  <c r="V100" i="4"/>
  <c r="AD100" i="4" s="1"/>
  <c r="U100" i="4"/>
  <c r="AC100" i="4" s="1"/>
  <c r="T100" i="4"/>
  <c r="AB100" i="4" s="1"/>
  <c r="S100" i="4"/>
  <c r="R100" i="4"/>
  <c r="Z100" i="4" s="1"/>
  <c r="Q100" i="4"/>
  <c r="Y100" i="4" s="1"/>
  <c r="AK99" i="4"/>
  <c r="AJ99" i="4"/>
  <c r="AD99" i="4"/>
  <c r="AC99" i="4"/>
  <c r="W99" i="4"/>
  <c r="AE99" i="4" s="1"/>
  <c r="V99" i="4"/>
  <c r="U99" i="4"/>
  <c r="T99" i="4"/>
  <c r="AB99" i="4" s="1"/>
  <c r="S99" i="4"/>
  <c r="AA99" i="4" s="1"/>
  <c r="R99" i="4"/>
  <c r="Z99" i="4" s="1"/>
  <c r="Q99" i="4"/>
  <c r="Y99" i="4" s="1"/>
  <c r="AK98" i="4"/>
  <c r="AJ98" i="4"/>
  <c r="AB98" i="4"/>
  <c r="W98" i="4"/>
  <c r="AE98" i="4" s="1"/>
  <c r="V98" i="4"/>
  <c r="AD98" i="4" s="1"/>
  <c r="U98" i="4"/>
  <c r="AC98" i="4" s="1"/>
  <c r="T98" i="4"/>
  <c r="S98" i="4"/>
  <c r="AA98" i="4" s="1"/>
  <c r="R98" i="4"/>
  <c r="Z98" i="4" s="1"/>
  <c r="Q98" i="4"/>
  <c r="Y98" i="4" s="1"/>
  <c r="AK97" i="4"/>
  <c r="AJ97" i="4"/>
  <c r="AD97" i="4"/>
  <c r="W97" i="4"/>
  <c r="AE97" i="4" s="1"/>
  <c r="V97" i="4"/>
  <c r="U97" i="4"/>
  <c r="AC97" i="4" s="1"/>
  <c r="T97" i="4"/>
  <c r="AB97" i="4" s="1"/>
  <c r="S97" i="4"/>
  <c r="AA97" i="4" s="1"/>
  <c r="R97" i="4"/>
  <c r="Z97" i="4" s="1"/>
  <c r="Q97" i="4"/>
  <c r="Y97" i="4" s="1"/>
  <c r="AK96" i="4"/>
  <c r="AJ96" i="4"/>
  <c r="AB96" i="4"/>
  <c r="Z96" i="4"/>
  <c r="W96" i="4"/>
  <c r="AE96" i="4" s="1"/>
  <c r="V96" i="4"/>
  <c r="AD96" i="4" s="1"/>
  <c r="U96" i="4"/>
  <c r="AC96" i="4" s="1"/>
  <c r="T96" i="4"/>
  <c r="S96" i="4"/>
  <c r="AA96" i="4" s="1"/>
  <c r="R96" i="4"/>
  <c r="Q96" i="4"/>
  <c r="Y96" i="4" s="1"/>
  <c r="AK95" i="4"/>
  <c r="AJ95" i="4"/>
  <c r="AD95" i="4"/>
  <c r="W95" i="4"/>
  <c r="AE95" i="4" s="1"/>
  <c r="V95" i="4"/>
  <c r="U95" i="4"/>
  <c r="AC95" i="4" s="1"/>
  <c r="T95" i="4"/>
  <c r="AB95" i="4" s="1"/>
  <c r="S95" i="4"/>
  <c r="AA95" i="4" s="1"/>
  <c r="R95" i="4"/>
  <c r="Z95" i="4" s="1"/>
  <c r="Q95" i="4"/>
  <c r="Y95" i="4" s="1"/>
  <c r="AK94" i="4"/>
  <c r="AJ94" i="4"/>
  <c r="AD94" i="4"/>
  <c r="AB94" i="4"/>
  <c r="W94" i="4"/>
  <c r="AE94" i="4" s="1"/>
  <c r="V94" i="4"/>
  <c r="U94" i="4"/>
  <c r="AC94" i="4" s="1"/>
  <c r="T94" i="4"/>
  <c r="S94" i="4"/>
  <c r="AA94" i="4" s="1"/>
  <c r="R94" i="4"/>
  <c r="Z94" i="4" s="1"/>
  <c r="Q94" i="4"/>
  <c r="Y94" i="4" s="1"/>
  <c r="AP93" i="4"/>
  <c r="AL93" i="4"/>
  <c r="AL94" i="4" s="1"/>
  <c r="AL95" i="4" s="1"/>
  <c r="AL96" i="4" s="1"/>
  <c r="AL97" i="4" s="1"/>
  <c r="AL98" i="4" s="1"/>
  <c r="AL99" i="4" s="1"/>
  <c r="AL100" i="4" s="1"/>
  <c r="AL101" i="4" s="1"/>
  <c r="AL102" i="4" s="1"/>
  <c r="AL103" i="4" s="1"/>
  <c r="AL104" i="4" s="1"/>
  <c r="AL105" i="4" s="1"/>
  <c r="AL106" i="4" s="1"/>
  <c r="AL107" i="4" s="1"/>
  <c r="AL108" i="4" s="1"/>
  <c r="AV92" i="4" s="1"/>
  <c r="AV93" i="4" s="1"/>
  <c r="AK93" i="4"/>
  <c r="AJ93" i="4"/>
  <c r="AA93" i="4"/>
  <c r="W93" i="4"/>
  <c r="AE93" i="4" s="1"/>
  <c r="V93" i="4"/>
  <c r="AD93" i="4" s="1"/>
  <c r="U93" i="4"/>
  <c r="AC93" i="4" s="1"/>
  <c r="T93" i="4"/>
  <c r="AB93" i="4" s="1"/>
  <c r="S93" i="4"/>
  <c r="R93" i="4"/>
  <c r="Z93" i="4" s="1"/>
  <c r="Q93" i="4"/>
  <c r="Y93" i="4" s="1"/>
  <c r="AP92" i="4"/>
  <c r="D88" i="4"/>
  <c r="J88" i="4" s="1"/>
  <c r="J87" i="4"/>
  <c r="H87" i="4"/>
  <c r="G87" i="4"/>
  <c r="D87" i="4"/>
  <c r="I87" i="4" s="1"/>
  <c r="D86" i="4"/>
  <c r="J86" i="4" s="1"/>
  <c r="D85" i="4"/>
  <c r="J85" i="4" s="1"/>
  <c r="J84" i="4"/>
  <c r="I84" i="4"/>
  <c r="D84" i="4"/>
  <c r="H84" i="4" s="1"/>
  <c r="D83" i="4"/>
  <c r="G83" i="4" s="1"/>
  <c r="I82" i="4"/>
  <c r="H82" i="4"/>
  <c r="G82" i="4"/>
  <c r="D82" i="4"/>
  <c r="J82" i="4" s="1"/>
  <c r="I81" i="4"/>
  <c r="D81" i="4"/>
  <c r="G81" i="4" s="1"/>
  <c r="D80" i="4"/>
  <c r="J80" i="4" s="1"/>
  <c r="J79" i="4"/>
  <c r="H79" i="4"/>
  <c r="G79" i="4"/>
  <c r="D79" i="4"/>
  <c r="I79" i="4" s="1"/>
  <c r="D78" i="4"/>
  <c r="J78" i="4" s="1"/>
  <c r="D77" i="4"/>
  <c r="J77" i="4" s="1"/>
  <c r="J76" i="4"/>
  <c r="I76" i="4"/>
  <c r="D76" i="4"/>
  <c r="H76" i="4" s="1"/>
  <c r="D75" i="4"/>
  <c r="H75" i="4" s="1"/>
  <c r="I74" i="4"/>
  <c r="H74" i="4"/>
  <c r="G74" i="4"/>
  <c r="D74" i="4"/>
  <c r="J74" i="4" s="1"/>
  <c r="I73" i="4"/>
  <c r="D73" i="4"/>
  <c r="G73" i="4" s="1"/>
  <c r="R4" i="5"/>
  <c r="AM6" i="5"/>
  <c r="B160" i="5"/>
  <c r="A160" i="5"/>
  <c r="B158" i="5" s="1"/>
  <c r="L157" i="5"/>
  <c r="P21" i="5" s="1"/>
  <c r="A150" i="5"/>
  <c r="B148" i="5" s="1"/>
  <c r="A140" i="5"/>
  <c r="B139" i="5" s="1"/>
  <c r="B137" i="5"/>
  <c r="A130" i="5"/>
  <c r="B130" i="5" s="1"/>
  <c r="B129" i="5"/>
  <c r="B128" i="5"/>
  <c r="B127" i="5"/>
  <c r="A120" i="5"/>
  <c r="B120" i="5" s="1"/>
  <c r="B119" i="5"/>
  <c r="B118" i="5"/>
  <c r="B117" i="5"/>
  <c r="B110" i="5"/>
  <c r="A110" i="5"/>
  <c r="B109" i="5"/>
  <c r="L107" i="5"/>
  <c r="B108" i="5"/>
  <c r="B107" i="5"/>
  <c r="B100" i="5"/>
  <c r="A100" i="5"/>
  <c r="B97" i="5" s="1"/>
  <c r="B99" i="5"/>
  <c r="L97" i="5"/>
  <c r="B98" i="5"/>
  <c r="B90" i="5"/>
  <c r="A90" i="5"/>
  <c r="B88" i="5" s="1"/>
  <c r="B89" i="5"/>
  <c r="L87" i="5"/>
  <c r="P14" i="5" s="1"/>
  <c r="B80" i="5"/>
  <c r="A80" i="5"/>
  <c r="B78" i="5" s="1"/>
  <c r="L77" i="5"/>
  <c r="P13" i="5" s="1"/>
  <c r="A70" i="5"/>
  <c r="B68" i="5" s="1"/>
  <c r="A60" i="5"/>
  <c r="B59" i="5" s="1"/>
  <c r="B57" i="5"/>
  <c r="A50" i="5"/>
  <c r="B50" i="5" s="1"/>
  <c r="B49" i="5"/>
  <c r="B48" i="5"/>
  <c r="B47" i="5"/>
  <c r="A40" i="5"/>
  <c r="B40" i="5" s="1"/>
  <c r="B39" i="5"/>
  <c r="B38" i="5"/>
  <c r="B37" i="5"/>
  <c r="B30" i="5"/>
  <c r="A30" i="5"/>
  <c r="B29" i="5"/>
  <c r="L27" i="5"/>
  <c r="B28" i="5"/>
  <c r="B27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B20" i="5"/>
  <c r="A20" i="5"/>
  <c r="L17" i="5" s="1"/>
  <c r="P7" i="5" s="1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B19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P16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P15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A10" i="5"/>
  <c r="B10" i="5" s="1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B9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P8" i="5"/>
  <c r="L7" i="5"/>
  <c r="B8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B7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P6" i="5"/>
  <c r="D4" i="5"/>
  <c r="G107" i="5" s="1"/>
  <c r="C4" i="5"/>
  <c r="F107" i="5" s="1"/>
  <c r="B4" i="5"/>
  <c r="G129" i="5" s="1"/>
  <c r="A4" i="5"/>
  <c r="F9" i="5" s="1"/>
  <c r="BK41" i="3"/>
  <c r="BP41" i="3" s="1"/>
  <c r="AY41" i="3"/>
  <c r="AT41" i="3"/>
  <c r="BK40" i="3"/>
  <c r="BP40" i="3" s="1"/>
  <c r="AY40" i="3"/>
  <c r="AT40" i="3"/>
  <c r="BM35" i="3"/>
  <c r="BK35" i="3"/>
  <c r="BP35" i="3" s="1"/>
  <c r="AY35" i="3"/>
  <c r="AT35" i="3"/>
  <c r="BP34" i="3"/>
  <c r="BK34" i="3"/>
  <c r="AT34" i="3"/>
  <c r="AY34" i="3" s="1"/>
  <c r="BK29" i="3"/>
  <c r="BP29" i="3" s="1"/>
  <c r="AT29" i="3"/>
  <c r="AY29" i="3" s="1"/>
  <c r="BK28" i="3"/>
  <c r="BP28" i="3" s="1"/>
  <c r="AY28" i="3"/>
  <c r="AT28" i="3"/>
  <c r="BK23" i="3"/>
  <c r="BP23" i="3" s="1"/>
  <c r="AY23" i="3"/>
  <c r="AT23" i="3"/>
  <c r="BK22" i="3"/>
  <c r="BP22" i="3" s="1"/>
  <c r="AY22" i="3"/>
  <c r="AT22" i="3"/>
  <c r="AH19" i="3"/>
  <c r="AC19" i="3"/>
  <c r="Z19" i="3"/>
  <c r="AE19" i="3" s="1"/>
  <c r="P19" i="3"/>
  <c r="L19" i="3"/>
  <c r="K19" i="3"/>
  <c r="H19" i="3"/>
  <c r="O19" i="3" s="1"/>
  <c r="AH18" i="3"/>
  <c r="AG18" i="3"/>
  <c r="AC18" i="3"/>
  <c r="Z18" i="3"/>
  <c r="P18" i="3"/>
  <c r="N18" i="3"/>
  <c r="M18" i="3"/>
  <c r="L18" i="3"/>
  <c r="L20" i="3" s="1"/>
  <c r="K18" i="3"/>
  <c r="H18" i="3"/>
  <c r="O18" i="3" s="1"/>
  <c r="O20" i="3" s="1"/>
  <c r="D18" i="3"/>
  <c r="B18" i="3"/>
  <c r="BP17" i="3"/>
  <c r="BK17" i="3"/>
  <c r="AT17" i="3"/>
  <c r="AY17" i="3" s="1"/>
  <c r="D17" i="3"/>
  <c r="B17" i="3"/>
  <c r="BK16" i="3"/>
  <c r="BP16" i="3" s="1"/>
  <c r="AY16" i="3"/>
  <c r="AT16" i="3"/>
  <c r="D16" i="3"/>
  <c r="B16" i="3"/>
  <c r="D15" i="3"/>
  <c r="B15" i="3"/>
  <c r="D14" i="3"/>
  <c r="B14" i="3"/>
  <c r="D13" i="3"/>
  <c r="B13" i="3"/>
  <c r="AH12" i="3"/>
  <c r="AC12" i="3"/>
  <c r="Z12" i="3"/>
  <c r="P12" i="3"/>
  <c r="O12" i="3"/>
  <c r="N12" i="3"/>
  <c r="K12" i="3"/>
  <c r="H12" i="3"/>
  <c r="M12" i="3" s="1"/>
  <c r="D12" i="3"/>
  <c r="B12" i="3"/>
  <c r="BK11" i="3"/>
  <c r="BP11" i="3" s="1"/>
  <c r="AY11" i="3"/>
  <c r="AT11" i="3"/>
  <c r="AH11" i="3"/>
  <c r="AC11" i="3"/>
  <c r="Z11" i="3"/>
  <c r="P11" i="3"/>
  <c r="K11" i="3"/>
  <c r="H11" i="3"/>
  <c r="D11" i="3"/>
  <c r="B11" i="3"/>
  <c r="BK10" i="3"/>
  <c r="BP10" i="3" s="1"/>
  <c r="AY10" i="3"/>
  <c r="AT10" i="3"/>
  <c r="D10" i="3"/>
  <c r="B10" i="3"/>
  <c r="D9" i="3"/>
  <c r="B9" i="3"/>
  <c r="D8" i="3"/>
  <c r="B8" i="3"/>
  <c r="BO7" i="3"/>
  <c r="BN7" i="3"/>
  <c r="BM7" i="3"/>
  <c r="BL7" i="3"/>
  <c r="BI7" i="3"/>
  <c r="AR7" i="3"/>
  <c r="AV7" i="3" s="1"/>
  <c r="D7" i="3"/>
  <c r="B7" i="3"/>
  <c r="BI6" i="3"/>
  <c r="BO6" i="3" s="1"/>
  <c r="AX6" i="3"/>
  <c r="AW6" i="3"/>
  <c r="AW17" i="3" s="1"/>
  <c r="AV6" i="3"/>
  <c r="AR6" i="3"/>
  <c r="AU6" i="3" s="1"/>
  <c r="N6" i="3"/>
  <c r="D6" i="3"/>
  <c r="B6" i="3"/>
  <c r="BM5" i="3"/>
  <c r="BL5" i="3"/>
  <c r="BJ5" i="3"/>
  <c r="BR5" i="3" s="1"/>
  <c r="BI5" i="3"/>
  <c r="BO5" i="3" s="1"/>
  <c r="AR5" i="3"/>
  <c r="AW5" i="3" s="1"/>
  <c r="AH5" i="3"/>
  <c r="AG5" i="3"/>
  <c r="AF5" i="3"/>
  <c r="AE5" i="3"/>
  <c r="AC5" i="3"/>
  <c r="Z5" i="3"/>
  <c r="AD5" i="3" s="1"/>
  <c r="P5" i="3"/>
  <c r="O5" i="3"/>
  <c r="N5" i="3"/>
  <c r="M5" i="3"/>
  <c r="L5" i="3"/>
  <c r="K5" i="3"/>
  <c r="H5" i="3"/>
  <c r="I5" i="3" s="1"/>
  <c r="D5" i="3"/>
  <c r="B5" i="3"/>
  <c r="BO4" i="3"/>
  <c r="BN4" i="3"/>
  <c r="BM4" i="3"/>
  <c r="BM22" i="3" s="1"/>
  <c r="BL4" i="3"/>
  <c r="BI4" i="3"/>
  <c r="BJ4" i="3" s="1"/>
  <c r="AR4" i="3"/>
  <c r="AX4" i="3" s="1"/>
  <c r="AH4" i="3"/>
  <c r="AC4" i="3"/>
  <c r="Z4" i="3"/>
  <c r="AF4" i="3" s="1"/>
  <c r="P4" i="3"/>
  <c r="O4" i="3"/>
  <c r="N4" i="3"/>
  <c r="K4" i="3"/>
  <c r="H4" i="3"/>
  <c r="M4" i="3" s="1"/>
  <c r="D4" i="3"/>
  <c r="B4" i="3"/>
  <c r="AH3" i="3"/>
  <c r="AC3" i="3"/>
  <c r="Z3" i="3"/>
  <c r="AF3" i="3" s="1"/>
  <c r="AF6" i="3" s="1"/>
  <c r="P3" i="3"/>
  <c r="O3" i="3"/>
  <c r="O6" i="3" s="1"/>
  <c r="N3" i="3"/>
  <c r="K3" i="3"/>
  <c r="H3" i="3"/>
  <c r="M3" i="3" s="1"/>
  <c r="B3" i="3"/>
  <c r="BJ7" i="3" s="1"/>
  <c r="BV7" i="3" s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28" i="1"/>
  <c r="K46" i="3" l="1"/>
  <c r="G45" i="3"/>
  <c r="G48" i="3" s="1"/>
  <c r="L44" i="3"/>
  <c r="Q46" i="3"/>
  <c r="P45" i="3"/>
  <c r="N44" i="3"/>
  <c r="H45" i="3"/>
  <c r="F47" i="3"/>
  <c r="F45" i="3"/>
  <c r="Q47" i="3"/>
  <c r="P46" i="3"/>
  <c r="O45" i="3"/>
  <c r="O48" i="3" s="1"/>
  <c r="C44" i="3"/>
  <c r="F44" i="3"/>
  <c r="F48" i="3" s="1"/>
  <c r="I46" i="3"/>
  <c r="K44" i="3"/>
  <c r="K48" i="3" s="1"/>
  <c r="P47" i="3"/>
  <c r="O46" i="3"/>
  <c r="N45" i="3"/>
  <c r="M44" i="3"/>
  <c r="M48" i="3" s="1"/>
  <c r="C47" i="3"/>
  <c r="I44" i="3"/>
  <c r="I48" i="3" s="1"/>
  <c r="H46" i="3"/>
  <c r="Q44" i="3"/>
  <c r="Q48" i="3" s="1"/>
  <c r="O47" i="3"/>
  <c r="N46" i="3"/>
  <c r="M45" i="3"/>
  <c r="C46" i="3"/>
  <c r="H44" i="3"/>
  <c r="G46" i="3"/>
  <c r="P44" i="3"/>
  <c r="N47" i="3"/>
  <c r="M46" i="3"/>
  <c r="L45" i="3"/>
  <c r="Q45" i="3"/>
  <c r="F46" i="3"/>
  <c r="D41" i="4"/>
  <c r="C27" i="4"/>
  <c r="F41" i="4"/>
  <c r="F39" i="4"/>
  <c r="F37" i="4"/>
  <c r="F35" i="4"/>
  <c r="F33" i="4"/>
  <c r="F31" i="4"/>
  <c r="F29" i="4"/>
  <c r="D33" i="4"/>
  <c r="F27" i="4"/>
  <c r="E41" i="4"/>
  <c r="E39" i="4"/>
  <c r="E37" i="4"/>
  <c r="E35" i="4"/>
  <c r="E33" i="4"/>
  <c r="E31" i="4"/>
  <c r="E29" i="4"/>
  <c r="C39" i="4"/>
  <c r="C37" i="4"/>
  <c r="C31" i="4"/>
  <c r="C29" i="4"/>
  <c r="F36" i="4"/>
  <c r="F28" i="4"/>
  <c r="E42" i="4"/>
  <c r="E40" i="4"/>
  <c r="E38" i="4"/>
  <c r="E36" i="4"/>
  <c r="E34" i="4"/>
  <c r="E32" i="4"/>
  <c r="E30" i="4"/>
  <c r="E28" i="4"/>
  <c r="D36" i="4"/>
  <c r="D28" i="4"/>
  <c r="C36" i="4"/>
  <c r="C28" i="4"/>
  <c r="G78" i="4"/>
  <c r="G86" i="4"/>
  <c r="AG96" i="4"/>
  <c r="AG98" i="4"/>
  <c r="AG105" i="4"/>
  <c r="H73" i="4"/>
  <c r="H78" i="4"/>
  <c r="H81" i="4"/>
  <c r="H86" i="4"/>
  <c r="AG102" i="4"/>
  <c r="I78" i="4"/>
  <c r="I86" i="4"/>
  <c r="AG106" i="4"/>
  <c r="J73" i="4"/>
  <c r="G76" i="4"/>
  <c r="J81" i="4"/>
  <c r="G84" i="4"/>
  <c r="AG94" i="4"/>
  <c r="AG101" i="4"/>
  <c r="V21" i="4"/>
  <c r="AD21" i="4" s="1"/>
  <c r="T19" i="4"/>
  <c r="AB19" i="4" s="1"/>
  <c r="R17" i="4"/>
  <c r="Z17" i="4" s="1"/>
  <c r="W14" i="4"/>
  <c r="AE14" i="4" s="1"/>
  <c r="U12" i="4"/>
  <c r="AC12" i="4" s="1"/>
  <c r="R9" i="4"/>
  <c r="Z9" i="4" s="1"/>
  <c r="W23" i="4"/>
  <c r="AE23" i="4" s="1"/>
  <c r="V22" i="4"/>
  <c r="AD22" i="4" s="1"/>
  <c r="U21" i="4"/>
  <c r="AC21" i="4" s="1"/>
  <c r="T20" i="4"/>
  <c r="AB20" i="4" s="1"/>
  <c r="S19" i="4"/>
  <c r="AA19" i="4" s="1"/>
  <c r="R18" i="4"/>
  <c r="Z18" i="4" s="1"/>
  <c r="Q17" i="4"/>
  <c r="Y17" i="4" s="1"/>
  <c r="AG17" i="4" s="1"/>
  <c r="AI17" i="4" s="1"/>
  <c r="AJ17" i="4" s="1"/>
  <c r="W15" i="4"/>
  <c r="AE15" i="4" s="1"/>
  <c r="V14" i="4"/>
  <c r="AD14" i="4" s="1"/>
  <c r="U13" i="4"/>
  <c r="AC13" i="4" s="1"/>
  <c r="T12" i="4"/>
  <c r="AB12" i="4" s="1"/>
  <c r="S11" i="4"/>
  <c r="AA11" i="4" s="1"/>
  <c r="R10" i="4"/>
  <c r="Z10" i="4" s="1"/>
  <c r="Q9" i="4"/>
  <c r="Y9" i="4" s="1"/>
  <c r="V23" i="4"/>
  <c r="AD23" i="4" s="1"/>
  <c r="U22" i="4"/>
  <c r="AC22" i="4" s="1"/>
  <c r="T21" i="4"/>
  <c r="AB21" i="4" s="1"/>
  <c r="S20" i="4"/>
  <c r="AA20" i="4" s="1"/>
  <c r="R19" i="4"/>
  <c r="Z19" i="4" s="1"/>
  <c r="Q18" i="4"/>
  <c r="Y18" i="4" s="1"/>
  <c r="W16" i="4"/>
  <c r="AE16" i="4" s="1"/>
  <c r="V15" i="4"/>
  <c r="AD15" i="4" s="1"/>
  <c r="U14" i="4"/>
  <c r="AC14" i="4" s="1"/>
  <c r="T13" i="4"/>
  <c r="AB13" i="4" s="1"/>
  <c r="S12" i="4"/>
  <c r="AA12" i="4" s="1"/>
  <c r="R11" i="4"/>
  <c r="Z11" i="4" s="1"/>
  <c r="Q10" i="4"/>
  <c r="Y10" i="4" s="1"/>
  <c r="W8" i="4"/>
  <c r="AE8" i="4" s="1"/>
  <c r="U23" i="4"/>
  <c r="AC23" i="4" s="1"/>
  <c r="T22" i="4"/>
  <c r="AB22" i="4" s="1"/>
  <c r="S21" i="4"/>
  <c r="AA21" i="4" s="1"/>
  <c r="R20" i="4"/>
  <c r="Z20" i="4" s="1"/>
  <c r="Q19" i="4"/>
  <c r="Y19" i="4" s="1"/>
  <c r="W17" i="4"/>
  <c r="AE17" i="4" s="1"/>
  <c r="V16" i="4"/>
  <c r="AD16" i="4" s="1"/>
  <c r="U15" i="4"/>
  <c r="AC15" i="4" s="1"/>
  <c r="T14" i="4"/>
  <c r="AB14" i="4" s="1"/>
  <c r="S13" i="4"/>
  <c r="AA13" i="4" s="1"/>
  <c r="R12" i="4"/>
  <c r="Z12" i="4" s="1"/>
  <c r="Q11" i="4"/>
  <c r="Y11" i="4" s="1"/>
  <c r="W9" i="4"/>
  <c r="AE9" i="4" s="1"/>
  <c r="V8" i="4"/>
  <c r="AD8" i="4" s="1"/>
  <c r="T11" i="4"/>
  <c r="AB11" i="4" s="1"/>
  <c r="T23" i="4"/>
  <c r="AB23" i="4" s="1"/>
  <c r="Q20" i="4"/>
  <c r="Y20" i="4" s="1"/>
  <c r="U16" i="4"/>
  <c r="AC16" i="4" s="1"/>
  <c r="V9" i="4"/>
  <c r="AD9" i="4" s="1"/>
  <c r="S23" i="4"/>
  <c r="AA23" i="4" s="1"/>
  <c r="R22" i="4"/>
  <c r="Z22" i="4" s="1"/>
  <c r="Q21" i="4"/>
  <c r="Y21" i="4" s="1"/>
  <c r="W19" i="4"/>
  <c r="AE19" i="4" s="1"/>
  <c r="V18" i="4"/>
  <c r="AD18" i="4" s="1"/>
  <c r="U17" i="4"/>
  <c r="AC17" i="4" s="1"/>
  <c r="T16" i="4"/>
  <c r="AB16" i="4" s="1"/>
  <c r="S15" i="4"/>
  <c r="AA15" i="4" s="1"/>
  <c r="R14" i="4"/>
  <c r="Z14" i="4" s="1"/>
  <c r="Q13" i="4"/>
  <c r="Y13" i="4" s="1"/>
  <c r="W11" i="4"/>
  <c r="AE11" i="4" s="1"/>
  <c r="V10" i="4"/>
  <c r="AD10" i="4" s="1"/>
  <c r="U9" i="4"/>
  <c r="AC9" i="4" s="1"/>
  <c r="T8" i="4"/>
  <c r="AB8" i="4" s="1"/>
  <c r="W22" i="4"/>
  <c r="AE22" i="4" s="1"/>
  <c r="U20" i="4"/>
  <c r="AC20" i="4" s="1"/>
  <c r="S18" i="4"/>
  <c r="AA18" i="4" s="1"/>
  <c r="Q16" i="4"/>
  <c r="Y16" i="4" s="1"/>
  <c r="V13" i="4"/>
  <c r="AD13" i="4" s="1"/>
  <c r="Q8" i="4"/>
  <c r="Y8" i="4" s="1"/>
  <c r="S22" i="4"/>
  <c r="AA22" i="4" s="1"/>
  <c r="W18" i="4"/>
  <c r="AE18" i="4" s="1"/>
  <c r="T15" i="4"/>
  <c r="AB15" i="4" s="1"/>
  <c r="S14" i="4"/>
  <c r="AA14" i="4" s="1"/>
  <c r="R13" i="4"/>
  <c r="Z13" i="4" s="1"/>
  <c r="Q12" i="4"/>
  <c r="Y12" i="4" s="1"/>
  <c r="W10" i="4"/>
  <c r="AE10" i="4" s="1"/>
  <c r="R23" i="4"/>
  <c r="Z23" i="4" s="1"/>
  <c r="Q22" i="4"/>
  <c r="Y22" i="4" s="1"/>
  <c r="AG22" i="4" s="1"/>
  <c r="W20" i="4"/>
  <c r="AE20" i="4" s="1"/>
  <c r="V19" i="4"/>
  <c r="AD19" i="4" s="1"/>
  <c r="U18" i="4"/>
  <c r="AC18" i="4" s="1"/>
  <c r="T17" i="4"/>
  <c r="AB17" i="4" s="1"/>
  <c r="S16" i="4"/>
  <c r="AA16" i="4" s="1"/>
  <c r="R15" i="4"/>
  <c r="Z15" i="4" s="1"/>
  <c r="Q14" i="4"/>
  <c r="Y14" i="4" s="1"/>
  <c r="W12" i="4"/>
  <c r="AE12" i="4" s="1"/>
  <c r="V11" i="4"/>
  <c r="AD11" i="4" s="1"/>
  <c r="U10" i="4"/>
  <c r="AC10" i="4" s="1"/>
  <c r="T9" i="4"/>
  <c r="AB9" i="4" s="1"/>
  <c r="S8" i="4"/>
  <c r="AA8" i="4" s="1"/>
  <c r="S10" i="4"/>
  <c r="AA10" i="4" s="1"/>
  <c r="R21" i="4"/>
  <c r="Z21" i="4" s="1"/>
  <c r="V17" i="4"/>
  <c r="AD17" i="4" s="1"/>
  <c r="U8" i="4"/>
  <c r="AC8" i="4" s="1"/>
  <c r="Q23" i="4"/>
  <c r="Y23" i="4" s="1"/>
  <c r="W21" i="4"/>
  <c r="AE21" i="4" s="1"/>
  <c r="V20" i="4"/>
  <c r="AD20" i="4" s="1"/>
  <c r="U19" i="4"/>
  <c r="AC19" i="4" s="1"/>
  <c r="T18" i="4"/>
  <c r="AB18" i="4" s="1"/>
  <c r="S17" i="4"/>
  <c r="AA17" i="4" s="1"/>
  <c r="R16" i="4"/>
  <c r="Z16" i="4" s="1"/>
  <c r="Q15" i="4"/>
  <c r="Y15" i="4" s="1"/>
  <c r="W13" i="4"/>
  <c r="AE13" i="4" s="1"/>
  <c r="V12" i="4"/>
  <c r="AD12" i="4" s="1"/>
  <c r="U11" i="4"/>
  <c r="AC11" i="4" s="1"/>
  <c r="T10" i="4"/>
  <c r="AB10" i="4" s="1"/>
  <c r="S9" i="4"/>
  <c r="AA9" i="4" s="1"/>
  <c r="AG95" i="4"/>
  <c r="AG108" i="4"/>
  <c r="AG104" i="4"/>
  <c r="AG99" i="4"/>
  <c r="AG93" i="4"/>
  <c r="AG100" i="4"/>
  <c r="AG103" i="4"/>
  <c r="AG97" i="4"/>
  <c r="AG107" i="4"/>
  <c r="G88" i="4"/>
  <c r="I75" i="4"/>
  <c r="G77" i="4"/>
  <c r="H80" i="4"/>
  <c r="I83" i="4"/>
  <c r="G85" i="4"/>
  <c r="H88" i="4"/>
  <c r="G75" i="4"/>
  <c r="G80" i="4"/>
  <c r="J75" i="4"/>
  <c r="H77" i="4"/>
  <c r="I80" i="4"/>
  <c r="J83" i="4"/>
  <c r="H85" i="4"/>
  <c r="I88" i="4"/>
  <c r="H83" i="4"/>
  <c r="I77" i="4"/>
  <c r="I85" i="4"/>
  <c r="E117" i="5"/>
  <c r="I30" i="5"/>
  <c r="H49" i="5"/>
  <c r="G39" i="5"/>
  <c r="D27" i="5"/>
  <c r="D31" i="5" s="1"/>
  <c r="H39" i="5"/>
  <c r="F127" i="5"/>
  <c r="I9" i="5"/>
  <c r="J20" i="5"/>
  <c r="J21" i="5" s="1"/>
  <c r="I39" i="5"/>
  <c r="G98" i="5"/>
  <c r="H108" i="5"/>
  <c r="J110" i="5"/>
  <c r="J111" i="5" s="1"/>
  <c r="H119" i="5"/>
  <c r="I129" i="5"/>
  <c r="I109" i="5"/>
  <c r="G7" i="5"/>
  <c r="H89" i="5"/>
  <c r="F109" i="5"/>
  <c r="H118" i="5"/>
  <c r="H128" i="5"/>
  <c r="I29" i="5"/>
  <c r="I31" i="5" s="1"/>
  <c r="F47" i="5"/>
  <c r="G57" i="5"/>
  <c r="J100" i="5"/>
  <c r="J101" i="5" s="1"/>
  <c r="G109" i="5"/>
  <c r="F128" i="5"/>
  <c r="J80" i="5"/>
  <c r="J81" i="5" s="1"/>
  <c r="J30" i="5"/>
  <c r="J31" i="5" s="1"/>
  <c r="I49" i="5"/>
  <c r="G137" i="5"/>
  <c r="H8" i="5"/>
  <c r="I19" i="5"/>
  <c r="E37" i="5"/>
  <c r="E118" i="5"/>
  <c r="F19" i="5"/>
  <c r="F29" i="5"/>
  <c r="H38" i="5"/>
  <c r="H48" i="5"/>
  <c r="J90" i="5"/>
  <c r="J91" i="5" s="1"/>
  <c r="H100" i="5"/>
  <c r="F118" i="5"/>
  <c r="G128" i="5"/>
  <c r="H28" i="5"/>
  <c r="G19" i="5"/>
  <c r="G29" i="5"/>
  <c r="E38" i="5"/>
  <c r="F48" i="5"/>
  <c r="G90" i="5"/>
  <c r="I100" i="5"/>
  <c r="I119" i="5"/>
  <c r="I99" i="5"/>
  <c r="G9" i="5"/>
  <c r="F38" i="5"/>
  <c r="G48" i="5"/>
  <c r="H90" i="5"/>
  <c r="D107" i="5"/>
  <c r="D111" i="5" s="1"/>
  <c r="I110" i="5"/>
  <c r="G119" i="5"/>
  <c r="H129" i="5"/>
  <c r="J160" i="5"/>
  <c r="J161" i="5" s="1"/>
  <c r="E78" i="5"/>
  <c r="H78" i="5"/>
  <c r="G78" i="5"/>
  <c r="F78" i="5"/>
  <c r="J120" i="5"/>
  <c r="J121" i="5" s="1"/>
  <c r="I120" i="5"/>
  <c r="H120" i="5"/>
  <c r="G120" i="5"/>
  <c r="I40" i="5"/>
  <c r="H40" i="5"/>
  <c r="J40" i="5"/>
  <c r="J41" i="5" s="1"/>
  <c r="G40" i="5"/>
  <c r="G50" i="5"/>
  <c r="J50" i="5"/>
  <c r="J51" i="5" s="1"/>
  <c r="I50" i="5"/>
  <c r="H50" i="5"/>
  <c r="G97" i="5"/>
  <c r="F97" i="5"/>
  <c r="E97" i="5"/>
  <c r="D97" i="5"/>
  <c r="D101" i="5" s="1"/>
  <c r="H139" i="5"/>
  <c r="G139" i="5"/>
  <c r="I139" i="5"/>
  <c r="F139" i="5"/>
  <c r="G10" i="5"/>
  <c r="J10" i="5"/>
  <c r="J11" i="5" s="1"/>
  <c r="I10" i="5"/>
  <c r="I11" i="5" s="1"/>
  <c r="H10" i="5"/>
  <c r="I59" i="5"/>
  <c r="H59" i="5"/>
  <c r="G59" i="5"/>
  <c r="F59" i="5"/>
  <c r="G148" i="5"/>
  <c r="H148" i="5"/>
  <c r="F148" i="5"/>
  <c r="E148" i="5"/>
  <c r="H68" i="5"/>
  <c r="G68" i="5"/>
  <c r="F68" i="5"/>
  <c r="E68" i="5"/>
  <c r="E158" i="5"/>
  <c r="H158" i="5"/>
  <c r="G158" i="5"/>
  <c r="F158" i="5"/>
  <c r="G130" i="5"/>
  <c r="J130" i="5"/>
  <c r="J131" i="5" s="1"/>
  <c r="I130" i="5"/>
  <c r="H130" i="5"/>
  <c r="F88" i="5"/>
  <c r="E88" i="5"/>
  <c r="H88" i="5"/>
  <c r="G88" i="5"/>
  <c r="H9" i="5"/>
  <c r="B17" i="5"/>
  <c r="B18" i="5"/>
  <c r="E27" i="5"/>
  <c r="F37" i="5"/>
  <c r="G47" i="5"/>
  <c r="B58" i="5"/>
  <c r="B87" i="5"/>
  <c r="I89" i="5"/>
  <c r="H98" i="5"/>
  <c r="E107" i="5"/>
  <c r="F117" i="5"/>
  <c r="G127" i="5"/>
  <c r="B138" i="5"/>
  <c r="F27" i="5"/>
  <c r="G30" i="5"/>
  <c r="G37" i="5"/>
  <c r="F49" i="5"/>
  <c r="B77" i="5"/>
  <c r="G110" i="5"/>
  <c r="G117" i="5"/>
  <c r="F129" i="5"/>
  <c r="B157" i="5"/>
  <c r="D7" i="5"/>
  <c r="D11" i="5" s="1"/>
  <c r="E8" i="5"/>
  <c r="G27" i="5"/>
  <c r="H30" i="5"/>
  <c r="F39" i="5"/>
  <c r="E48" i="5"/>
  <c r="G49" i="5"/>
  <c r="B67" i="5"/>
  <c r="G100" i="5"/>
  <c r="H110" i="5"/>
  <c r="F119" i="5"/>
  <c r="E128" i="5"/>
  <c r="B147" i="5"/>
  <c r="D57" i="5"/>
  <c r="D61" i="5" s="1"/>
  <c r="L67" i="5"/>
  <c r="P12" i="5" s="1"/>
  <c r="G80" i="5"/>
  <c r="F99" i="5"/>
  <c r="L147" i="5"/>
  <c r="P20" i="5" s="1"/>
  <c r="B150" i="5"/>
  <c r="E7" i="5"/>
  <c r="F8" i="5"/>
  <c r="H19" i="5"/>
  <c r="H20" i="5"/>
  <c r="F28" i="5"/>
  <c r="H29" i="5"/>
  <c r="G38" i="5"/>
  <c r="D47" i="5"/>
  <c r="D51" i="5" s="1"/>
  <c r="E57" i="5"/>
  <c r="L57" i="5"/>
  <c r="P11" i="5" s="1"/>
  <c r="B60" i="5"/>
  <c r="B79" i="5"/>
  <c r="H80" i="5"/>
  <c r="F89" i="5"/>
  <c r="I90" i="5"/>
  <c r="E98" i="5"/>
  <c r="G99" i="5"/>
  <c r="F108" i="5"/>
  <c r="H109" i="5"/>
  <c r="G118" i="5"/>
  <c r="D127" i="5"/>
  <c r="D131" i="5" s="1"/>
  <c r="E137" i="5"/>
  <c r="L137" i="5"/>
  <c r="P19" i="5" s="1"/>
  <c r="B140" i="5"/>
  <c r="B159" i="5"/>
  <c r="H160" i="5"/>
  <c r="E108" i="5"/>
  <c r="D137" i="5"/>
  <c r="D141" i="5" s="1"/>
  <c r="G160" i="5"/>
  <c r="F7" i="5"/>
  <c r="G8" i="5"/>
  <c r="I20" i="5"/>
  <c r="G28" i="5"/>
  <c r="D37" i="5"/>
  <c r="D41" i="5" s="1"/>
  <c r="E47" i="5"/>
  <c r="E51" i="5" s="1"/>
  <c r="L47" i="5"/>
  <c r="P10" i="5" s="1"/>
  <c r="F57" i="5"/>
  <c r="B69" i="5"/>
  <c r="I80" i="5"/>
  <c r="G89" i="5"/>
  <c r="F98" i="5"/>
  <c r="H99" i="5"/>
  <c r="G108" i="5"/>
  <c r="D117" i="5"/>
  <c r="D121" i="5" s="1"/>
  <c r="E127" i="5"/>
  <c r="L127" i="5"/>
  <c r="P18" i="5" s="1"/>
  <c r="F137" i="5"/>
  <c r="B149" i="5"/>
  <c r="I160" i="5"/>
  <c r="G20" i="5"/>
  <c r="E28" i="5"/>
  <c r="B70" i="5"/>
  <c r="L37" i="5"/>
  <c r="P9" i="5" s="1"/>
  <c r="L117" i="5"/>
  <c r="P17" i="5" s="1"/>
  <c r="AV23" i="3"/>
  <c r="AV41" i="3"/>
  <c r="AV35" i="3"/>
  <c r="AW34" i="3"/>
  <c r="AW11" i="3"/>
  <c r="AW28" i="3"/>
  <c r="AU40" i="3"/>
  <c r="AU17" i="3"/>
  <c r="AU29" i="3"/>
  <c r="M6" i="3"/>
  <c r="BO28" i="3"/>
  <c r="BO30" i="3" s="1"/>
  <c r="BO34" i="3"/>
  <c r="BO11" i="3"/>
  <c r="S5" i="3"/>
  <c r="R5" i="3"/>
  <c r="W5" i="3"/>
  <c r="V5" i="3"/>
  <c r="Q5" i="3"/>
  <c r="U5" i="3"/>
  <c r="T5" i="3"/>
  <c r="BR28" i="3"/>
  <c r="BR11" i="3"/>
  <c r="BR34" i="3"/>
  <c r="AX22" i="3"/>
  <c r="AX16" i="3"/>
  <c r="AX10" i="3"/>
  <c r="BO40" i="3"/>
  <c r="BO42" i="3" s="1"/>
  <c r="BO17" i="3"/>
  <c r="BO29" i="3"/>
  <c r="BV35" i="3"/>
  <c r="BV23" i="3"/>
  <c r="BV41" i="3"/>
  <c r="BT4" i="3"/>
  <c r="BR4" i="3"/>
  <c r="BW4" i="3"/>
  <c r="BS4" i="3"/>
  <c r="BQ4" i="3"/>
  <c r="BV4" i="3"/>
  <c r="BU4" i="3"/>
  <c r="BT5" i="3"/>
  <c r="BQ7" i="3"/>
  <c r="BL34" i="3"/>
  <c r="BL36" i="3" s="1"/>
  <c r="BL28" i="3"/>
  <c r="BL11" i="3"/>
  <c r="AG3" i="3"/>
  <c r="AG4" i="3"/>
  <c r="BL22" i="3"/>
  <c r="BL24" i="3" s="1"/>
  <c r="BL16" i="3"/>
  <c r="BL10" i="3"/>
  <c r="BL12" i="3" s="1"/>
  <c r="AX5" i="3"/>
  <c r="BS5" i="3"/>
  <c r="AV29" i="3"/>
  <c r="AV17" i="3"/>
  <c r="AV40" i="3"/>
  <c r="AV42" i="3" s="1"/>
  <c r="BO35" i="3"/>
  <c r="BO23" i="3"/>
  <c r="BO41" i="3"/>
  <c r="BM16" i="3"/>
  <c r="AG20" i="3"/>
  <c r="AW29" i="3"/>
  <c r="AW40" i="3"/>
  <c r="BN22" i="3"/>
  <c r="BN16" i="3"/>
  <c r="BN10" i="3"/>
  <c r="AU4" i="3"/>
  <c r="BV5" i="3"/>
  <c r="BJ6" i="3"/>
  <c r="AS7" i="3"/>
  <c r="O11" i="3"/>
  <c r="O13" i="3" s="1"/>
  <c r="N11" i="3"/>
  <c r="N13" i="3" s="1"/>
  <c r="M11" i="3"/>
  <c r="M13" i="3" s="1"/>
  <c r="AD11" i="3"/>
  <c r="AG11" i="3"/>
  <c r="AF11" i="3"/>
  <c r="BT7" i="3"/>
  <c r="BS7" i="3"/>
  <c r="BR7" i="3"/>
  <c r="AX40" i="3"/>
  <c r="AX29" i="3"/>
  <c r="AX17" i="3"/>
  <c r="BU7" i="3"/>
  <c r="BM34" i="3"/>
  <c r="BM36" i="3" s="1"/>
  <c r="BM28" i="3"/>
  <c r="BM11" i="3"/>
  <c r="BN5" i="3"/>
  <c r="BW7" i="3"/>
  <c r="I11" i="3"/>
  <c r="AA11" i="3"/>
  <c r="BU5" i="3"/>
  <c r="BO22" i="3"/>
  <c r="BO24" i="3" s="1"/>
  <c r="BO16" i="3"/>
  <c r="BO10" i="3"/>
  <c r="BO12" i="3" s="1"/>
  <c r="I3" i="3"/>
  <c r="BL6" i="3"/>
  <c r="AA5" i="3"/>
  <c r="AU5" i="3"/>
  <c r="BM6" i="3"/>
  <c r="BL41" i="3"/>
  <c r="BL35" i="3"/>
  <c r="BL23" i="3"/>
  <c r="I12" i="3"/>
  <c r="AF18" i="3"/>
  <c r="AF20" i="3" s="1"/>
  <c r="AD18" i="3"/>
  <c r="AA18" i="3"/>
  <c r="AS4" i="3"/>
  <c r="AX7" i="3"/>
  <c r="AW7" i="3"/>
  <c r="AA3" i="3"/>
  <c r="AA4" i="3"/>
  <c r="I4" i="3"/>
  <c r="AV4" i="3"/>
  <c r="BW5" i="3"/>
  <c r="AA12" i="3"/>
  <c r="AF12" i="3"/>
  <c r="AE12" i="3"/>
  <c r="AD12" i="3"/>
  <c r="L3" i="3"/>
  <c r="L6" i="3" s="1"/>
  <c r="L7" i="3" s="1"/>
  <c r="L8" i="3" s="1"/>
  <c r="Q8" i="3" s="1"/>
  <c r="AE3" i="3"/>
  <c r="AE6" i="3" s="1"/>
  <c r="L4" i="3"/>
  <c r="AE4" i="3"/>
  <c r="AV5" i="3"/>
  <c r="BQ5" i="3"/>
  <c r="AS6" i="3"/>
  <c r="BN6" i="3"/>
  <c r="BM41" i="3"/>
  <c r="BM23" i="3"/>
  <c r="BM24" i="3" s="1"/>
  <c r="L11" i="3"/>
  <c r="AE11" i="3"/>
  <c r="AE13" i="3" s="1"/>
  <c r="AG12" i="3"/>
  <c r="I19" i="3"/>
  <c r="AS5" i="3"/>
  <c r="AU7" i="3"/>
  <c r="BM10" i="3"/>
  <c r="BM12" i="3" s="1"/>
  <c r="AD3" i="3"/>
  <c r="AD6" i="3" s="1"/>
  <c r="AD4" i="3"/>
  <c r="AW4" i="3"/>
  <c r="BN35" i="3"/>
  <c r="BN23" i="3"/>
  <c r="BN41" i="3"/>
  <c r="AE18" i="3"/>
  <c r="AE20" i="3" s="1"/>
  <c r="M19" i="3"/>
  <c r="M20" i="3" s="1"/>
  <c r="L21" i="3" s="1"/>
  <c r="L22" i="3" s="1"/>
  <c r="Q22" i="3" s="1"/>
  <c r="AF19" i="3"/>
  <c r="L12" i="3"/>
  <c r="I18" i="3"/>
  <c r="N19" i="3"/>
  <c r="N20" i="3" s="1"/>
  <c r="AG19" i="3"/>
  <c r="AA19" i="3"/>
  <c r="AD19" i="3"/>
  <c r="N48" i="3" l="1"/>
  <c r="F49" i="3"/>
  <c r="F50" i="3" s="1"/>
  <c r="K50" i="3" s="1"/>
  <c r="H48" i="3"/>
  <c r="P48" i="3"/>
  <c r="L48" i="3"/>
  <c r="K49" i="3" s="1"/>
  <c r="AG9" i="4"/>
  <c r="AI9" i="4" s="1"/>
  <c r="AJ9" i="4" s="1"/>
  <c r="AG23" i="4"/>
  <c r="AI23" i="4" s="1"/>
  <c r="AJ23" i="4" s="1"/>
  <c r="AG20" i="4"/>
  <c r="AI20" i="4" s="1"/>
  <c r="AJ20" i="4" s="1"/>
  <c r="AI10" i="4"/>
  <c r="AJ10" i="4" s="1"/>
  <c r="AG15" i="4"/>
  <c r="AI15" i="4" s="1"/>
  <c r="AJ15" i="4" s="1"/>
  <c r="AG18" i="4"/>
  <c r="AI18" i="4" s="1"/>
  <c r="AJ18" i="4" s="1"/>
  <c r="AG8" i="4"/>
  <c r="AG10" i="4"/>
  <c r="AG21" i="4"/>
  <c r="AG14" i="4"/>
  <c r="AG12" i="4"/>
  <c r="AI12" i="4" s="1"/>
  <c r="AJ12" i="4" s="1"/>
  <c r="AG16" i="4"/>
  <c r="AI16" i="4" s="1"/>
  <c r="AJ16" i="4" s="1"/>
  <c r="AI13" i="4"/>
  <c r="AJ13" i="4" s="1"/>
  <c r="AG13" i="4"/>
  <c r="AI22" i="4"/>
  <c r="AJ22" i="4" s="1"/>
  <c r="AG19" i="4"/>
  <c r="AI19" i="4" s="1"/>
  <c r="AJ19" i="4" s="1"/>
  <c r="AI14" i="4"/>
  <c r="AJ14" i="4" s="1"/>
  <c r="AG11" i="4"/>
  <c r="AI11" i="4" s="1"/>
  <c r="AJ11" i="4" s="1"/>
  <c r="AI21" i="4"/>
  <c r="AJ21" i="4" s="1"/>
  <c r="AI8" i="4"/>
  <c r="AJ8" i="4" s="1"/>
  <c r="I121" i="5"/>
  <c r="I21" i="5"/>
  <c r="E121" i="5"/>
  <c r="H131" i="5"/>
  <c r="I41" i="5"/>
  <c r="E41" i="5"/>
  <c r="H111" i="5"/>
  <c r="F111" i="5"/>
  <c r="E11" i="5"/>
  <c r="H31" i="5"/>
  <c r="E111" i="5"/>
  <c r="H11" i="5"/>
  <c r="I131" i="5"/>
  <c r="F51" i="5"/>
  <c r="G11" i="5"/>
  <c r="H51" i="5"/>
  <c r="H121" i="5"/>
  <c r="H91" i="5"/>
  <c r="I51" i="5"/>
  <c r="I101" i="5"/>
  <c r="G111" i="5"/>
  <c r="F41" i="5"/>
  <c r="H101" i="5"/>
  <c r="F11" i="5"/>
  <c r="E131" i="5"/>
  <c r="F101" i="5"/>
  <c r="H41" i="5"/>
  <c r="F131" i="5"/>
  <c r="G101" i="5"/>
  <c r="I111" i="5"/>
  <c r="G67" i="5"/>
  <c r="E67" i="5"/>
  <c r="E71" i="5" s="1"/>
  <c r="F67" i="5"/>
  <c r="D67" i="5"/>
  <c r="D71" i="5" s="1"/>
  <c r="G157" i="5"/>
  <c r="F157" i="5"/>
  <c r="D157" i="5"/>
  <c r="D161" i="5" s="1"/>
  <c r="E157" i="5"/>
  <c r="E161" i="5" s="1"/>
  <c r="F31" i="5"/>
  <c r="H58" i="5"/>
  <c r="F58" i="5"/>
  <c r="F61" i="5" s="1"/>
  <c r="G58" i="5"/>
  <c r="E58" i="5"/>
  <c r="E61" i="5" s="1"/>
  <c r="G51" i="5"/>
  <c r="H60" i="5"/>
  <c r="G60" i="5"/>
  <c r="J60" i="5"/>
  <c r="J61" i="5" s="1"/>
  <c r="I60" i="5"/>
  <c r="I61" i="5" s="1"/>
  <c r="G121" i="5"/>
  <c r="G131" i="5"/>
  <c r="G147" i="5"/>
  <c r="F147" i="5"/>
  <c r="E147" i="5"/>
  <c r="E151" i="5" s="1"/>
  <c r="D147" i="5"/>
  <c r="D151" i="5" s="1"/>
  <c r="F121" i="5"/>
  <c r="E31" i="5"/>
  <c r="F149" i="5"/>
  <c r="I149" i="5"/>
  <c r="H149" i="5"/>
  <c r="G149" i="5"/>
  <c r="H140" i="5"/>
  <c r="G140" i="5"/>
  <c r="J140" i="5"/>
  <c r="J141" i="5" s="1"/>
  <c r="I140" i="5"/>
  <c r="I141" i="5" s="1"/>
  <c r="G17" i="5"/>
  <c r="E17" i="5"/>
  <c r="D17" i="5"/>
  <c r="D21" i="5" s="1"/>
  <c r="F17" i="5"/>
  <c r="I70" i="5"/>
  <c r="H70" i="5"/>
  <c r="G70" i="5"/>
  <c r="J70" i="5"/>
  <c r="J71" i="5" s="1"/>
  <c r="G79" i="5"/>
  <c r="F79" i="5"/>
  <c r="I79" i="5"/>
  <c r="I81" i="5" s="1"/>
  <c r="H79" i="5"/>
  <c r="H81" i="5" s="1"/>
  <c r="H138" i="5"/>
  <c r="F138" i="5"/>
  <c r="F141" i="5" s="1"/>
  <c r="G138" i="5"/>
  <c r="E138" i="5"/>
  <c r="E141" i="5" s="1"/>
  <c r="G31" i="5"/>
  <c r="G41" i="5"/>
  <c r="I91" i="5"/>
  <c r="G159" i="5"/>
  <c r="F159" i="5"/>
  <c r="I159" i="5"/>
  <c r="I161" i="5" s="1"/>
  <c r="H159" i="5"/>
  <c r="H161" i="5" s="1"/>
  <c r="E77" i="5"/>
  <c r="E81" i="5" s="1"/>
  <c r="G77" i="5"/>
  <c r="F77" i="5"/>
  <c r="F81" i="5" s="1"/>
  <c r="D77" i="5"/>
  <c r="D81" i="5" s="1"/>
  <c r="H18" i="5"/>
  <c r="H21" i="5" s="1"/>
  <c r="F18" i="5"/>
  <c r="E18" i="5"/>
  <c r="G18" i="5"/>
  <c r="I150" i="5"/>
  <c r="H150" i="5"/>
  <c r="G150" i="5"/>
  <c r="J150" i="5"/>
  <c r="J151" i="5" s="1"/>
  <c r="F69" i="5"/>
  <c r="I69" i="5"/>
  <c r="H69" i="5"/>
  <c r="G69" i="5"/>
  <c r="G87" i="5"/>
  <c r="G91" i="5" s="1"/>
  <c r="E87" i="5"/>
  <c r="E91" i="5" s="1"/>
  <c r="D87" i="5"/>
  <c r="D91" i="5" s="1"/>
  <c r="F87" i="5"/>
  <c r="F91" i="5" s="1"/>
  <c r="E101" i="5"/>
  <c r="U4" i="3"/>
  <c r="W4" i="3"/>
  <c r="T4" i="3"/>
  <c r="R4" i="3"/>
  <c r="S4" i="3"/>
  <c r="Q4" i="3"/>
  <c r="V4" i="3"/>
  <c r="BL40" i="3"/>
  <c r="BL42" i="3" s="1"/>
  <c r="BL29" i="3"/>
  <c r="BL17" i="3"/>
  <c r="BW35" i="3"/>
  <c r="BW23" i="3"/>
  <c r="BW41" i="3"/>
  <c r="AX42" i="3"/>
  <c r="BN24" i="3"/>
  <c r="BL25" i="3" s="1"/>
  <c r="BL26" i="3" s="1"/>
  <c r="BT34" i="3"/>
  <c r="BT28" i="3"/>
  <c r="BT11" i="3"/>
  <c r="AN4" i="3"/>
  <c r="AI4" i="3"/>
  <c r="AM4" i="3"/>
  <c r="AK4" i="3"/>
  <c r="AL4" i="3"/>
  <c r="AJ4" i="3"/>
  <c r="AO4" i="3"/>
  <c r="Q12" i="3"/>
  <c r="W12" i="3"/>
  <c r="U12" i="3"/>
  <c r="T12" i="3"/>
  <c r="S12" i="3"/>
  <c r="R12" i="3"/>
  <c r="V12" i="3"/>
  <c r="U3" i="3"/>
  <c r="U6" i="3" s="1"/>
  <c r="T3" i="3"/>
  <c r="W3" i="3"/>
  <c r="W6" i="3" s="1"/>
  <c r="R3" i="3"/>
  <c r="R6" i="3" s="1"/>
  <c r="S3" i="3"/>
  <c r="S6" i="3" s="1"/>
  <c r="Q3" i="3"/>
  <c r="V3" i="3"/>
  <c r="BN34" i="3"/>
  <c r="BN36" i="3" s="1"/>
  <c r="BN28" i="3"/>
  <c r="BN30" i="3" s="1"/>
  <c r="BN11" i="3"/>
  <c r="BR23" i="3"/>
  <c r="BR41" i="3"/>
  <c r="BR35" i="3"/>
  <c r="BR36" i="3" s="1"/>
  <c r="BU22" i="3"/>
  <c r="BU16" i="3"/>
  <c r="BU10" i="3"/>
  <c r="AU42" i="3"/>
  <c r="AM19" i="3"/>
  <c r="AL19" i="3"/>
  <c r="AJ19" i="3"/>
  <c r="AI19" i="3"/>
  <c r="AO19" i="3"/>
  <c r="AN19" i="3"/>
  <c r="AK19" i="3"/>
  <c r="AU35" i="3"/>
  <c r="AU23" i="3"/>
  <c r="AU41" i="3"/>
  <c r="BN40" i="3"/>
  <c r="BN42" i="3" s="1"/>
  <c r="BN29" i="3"/>
  <c r="BN17" i="3"/>
  <c r="AN3" i="3"/>
  <c r="AM3" i="3"/>
  <c r="AK3" i="3"/>
  <c r="AI3" i="3"/>
  <c r="AL3" i="3"/>
  <c r="AJ3" i="3"/>
  <c r="AO3" i="3"/>
  <c r="BS23" i="3"/>
  <c r="BS35" i="3"/>
  <c r="BS41" i="3"/>
  <c r="BF7" i="3"/>
  <c r="BA7" i="3"/>
  <c r="BD7" i="3"/>
  <c r="AZ7" i="3"/>
  <c r="BE7" i="3"/>
  <c r="BC7" i="3"/>
  <c r="BB7" i="3"/>
  <c r="AG6" i="3"/>
  <c r="AD7" i="3" s="1"/>
  <c r="AD8" i="3" s="1"/>
  <c r="AI8" i="3" s="1"/>
  <c r="BV22" i="3"/>
  <c r="BV24" i="3" s="1"/>
  <c r="BV16" i="3"/>
  <c r="BV10" i="3"/>
  <c r="AW30" i="3"/>
  <c r="BF5" i="3"/>
  <c r="BE5" i="3"/>
  <c r="BD5" i="3"/>
  <c r="BC5" i="3"/>
  <c r="BA5" i="3"/>
  <c r="BB5" i="3"/>
  <c r="AZ5" i="3"/>
  <c r="BD6" i="3"/>
  <c r="BA6" i="3"/>
  <c r="AZ6" i="3"/>
  <c r="BC6" i="3"/>
  <c r="BF6" i="3"/>
  <c r="BB6" i="3"/>
  <c r="BE6" i="3"/>
  <c r="AW41" i="3"/>
  <c r="AW42" i="3" s="1"/>
  <c r="AW35" i="3"/>
  <c r="AW23" i="3"/>
  <c r="BO18" i="3"/>
  <c r="BT41" i="3"/>
  <c r="BT35" i="3"/>
  <c r="BT23" i="3"/>
  <c r="BR6" i="3"/>
  <c r="BW6" i="3"/>
  <c r="BV6" i="3"/>
  <c r="BU6" i="3"/>
  <c r="BQ6" i="3"/>
  <c r="BT6" i="3"/>
  <c r="BS6" i="3"/>
  <c r="BQ22" i="3"/>
  <c r="BQ10" i="3"/>
  <c r="BQ16" i="3"/>
  <c r="T19" i="3"/>
  <c r="S19" i="3"/>
  <c r="Q19" i="3"/>
  <c r="W19" i="3"/>
  <c r="V19" i="3"/>
  <c r="U19" i="3"/>
  <c r="R19" i="3"/>
  <c r="BS28" i="3"/>
  <c r="BS34" i="3"/>
  <c r="BS11" i="3"/>
  <c r="BL30" i="3"/>
  <c r="BS22" i="3"/>
  <c r="BS24" i="3" s="1"/>
  <c r="BS10" i="3"/>
  <c r="BS16" i="3"/>
  <c r="BO36" i="3"/>
  <c r="AW36" i="3"/>
  <c r="AX23" i="3"/>
  <c r="AX24" i="3" s="1"/>
  <c r="AX41" i="3"/>
  <c r="AX35" i="3"/>
  <c r="AF13" i="3"/>
  <c r="W18" i="3"/>
  <c r="U18" i="3"/>
  <c r="U20" i="3" s="1"/>
  <c r="S18" i="3"/>
  <c r="R18" i="3"/>
  <c r="R20" i="3" s="1"/>
  <c r="Q18" i="3"/>
  <c r="V18" i="3"/>
  <c r="T18" i="3"/>
  <c r="AZ4" i="3"/>
  <c r="BD4" i="3"/>
  <c r="BB4" i="3"/>
  <c r="BF4" i="3"/>
  <c r="BE4" i="3"/>
  <c r="BA4" i="3"/>
  <c r="BC4" i="3"/>
  <c r="BU34" i="3"/>
  <c r="BU28" i="3"/>
  <c r="BU11" i="3"/>
  <c r="AG13" i="3"/>
  <c r="AX28" i="3"/>
  <c r="AX30" i="3" s="1"/>
  <c r="AX11" i="3"/>
  <c r="AX12" i="3" s="1"/>
  <c r="AX34" i="3"/>
  <c r="AX36" i="3" s="1"/>
  <c r="AW22" i="3"/>
  <c r="AW24" i="3" s="1"/>
  <c r="AW10" i="3"/>
  <c r="AW12" i="3" s="1"/>
  <c r="AW16" i="3"/>
  <c r="AW18" i="3" s="1"/>
  <c r="BW28" i="3"/>
  <c r="BW34" i="3"/>
  <c r="BW11" i="3"/>
  <c r="AN18" i="3"/>
  <c r="AL18" i="3"/>
  <c r="AK18" i="3"/>
  <c r="AJ18" i="3"/>
  <c r="AO18" i="3"/>
  <c r="AO20" i="3" s="1"/>
  <c r="AM18" i="3"/>
  <c r="AI18" i="3"/>
  <c r="AU28" i="3"/>
  <c r="AU30" i="3" s="1"/>
  <c r="AU11" i="3"/>
  <c r="AU34" i="3"/>
  <c r="AL11" i="3"/>
  <c r="AO11" i="3"/>
  <c r="AN11" i="3"/>
  <c r="AK11" i="3"/>
  <c r="AM11" i="3"/>
  <c r="AI11" i="3"/>
  <c r="AJ11" i="3"/>
  <c r="AD13" i="3"/>
  <c r="BN12" i="3"/>
  <c r="BL13" i="3"/>
  <c r="BL14" i="3" s="1"/>
  <c r="BR22" i="3"/>
  <c r="BR16" i="3"/>
  <c r="BR10" i="3"/>
  <c r="BR12" i="3" s="1"/>
  <c r="BQ34" i="3"/>
  <c r="BQ28" i="3"/>
  <c r="BQ11" i="3"/>
  <c r="BV34" i="3"/>
  <c r="BV36" i="3" s="1"/>
  <c r="BV28" i="3"/>
  <c r="BV11" i="3"/>
  <c r="AV34" i="3"/>
  <c r="AV36" i="3" s="1"/>
  <c r="AV28" i="3"/>
  <c r="AV30" i="3" s="1"/>
  <c r="AV11" i="3"/>
  <c r="AJ12" i="3"/>
  <c r="AN12" i="3"/>
  <c r="AM12" i="3"/>
  <c r="AL12" i="3"/>
  <c r="AO12" i="3"/>
  <c r="AK12" i="3"/>
  <c r="AI12" i="3"/>
  <c r="BM29" i="3"/>
  <c r="BM30" i="3" s="1"/>
  <c r="BM40" i="3"/>
  <c r="BM42" i="3" s="1"/>
  <c r="BM17" i="3"/>
  <c r="BM18" i="3" s="1"/>
  <c r="BU41" i="3"/>
  <c r="BU23" i="3"/>
  <c r="BU35" i="3"/>
  <c r="AU22" i="3"/>
  <c r="AU16" i="3"/>
  <c r="AU18" i="3" s="1"/>
  <c r="AU10" i="3"/>
  <c r="AU12" i="3" s="1"/>
  <c r="BL37" i="3"/>
  <c r="BL38" i="3" s="1"/>
  <c r="BW22" i="3"/>
  <c r="BW24" i="3" s="1"/>
  <c r="BW16" i="3"/>
  <c r="BW10" i="3"/>
  <c r="L13" i="3"/>
  <c r="L14" i="3" s="1"/>
  <c r="L15" i="3" s="1"/>
  <c r="Q15" i="3" s="1"/>
  <c r="AV22" i="3"/>
  <c r="AV24" i="3" s="1"/>
  <c r="AV16" i="3"/>
  <c r="AV18" i="3" s="1"/>
  <c r="AV10" i="3"/>
  <c r="AV12" i="3" s="1"/>
  <c r="AD20" i="3"/>
  <c r="AD21" i="3" s="1"/>
  <c r="AD22" i="3" s="1"/>
  <c r="AI22" i="3" s="1"/>
  <c r="AL5" i="3"/>
  <c r="AN5" i="3"/>
  <c r="AK5" i="3"/>
  <c r="AJ5" i="3"/>
  <c r="AI5" i="3"/>
  <c r="AO5" i="3"/>
  <c r="AM5" i="3"/>
  <c r="S11" i="3"/>
  <c r="W11" i="3"/>
  <c r="V11" i="3"/>
  <c r="U11" i="3"/>
  <c r="T11" i="3"/>
  <c r="R11" i="3"/>
  <c r="Q11" i="3"/>
  <c r="BN18" i="3"/>
  <c r="BL18" i="3"/>
  <c r="BQ41" i="3"/>
  <c r="BQ35" i="3"/>
  <c r="BQ23" i="3"/>
  <c r="BT22" i="3"/>
  <c r="BT16" i="3"/>
  <c r="BT10" i="3"/>
  <c r="AX18" i="3"/>
  <c r="Q13" i="3" l="1"/>
  <c r="AL20" i="3"/>
  <c r="BR24" i="3"/>
  <c r="T13" i="3"/>
  <c r="AK20" i="3"/>
  <c r="V13" i="3"/>
  <c r="AN20" i="3"/>
  <c r="Q20" i="3"/>
  <c r="S13" i="3"/>
  <c r="R13" i="3"/>
  <c r="W20" i="3"/>
  <c r="U13" i="3"/>
  <c r="AJ20" i="3"/>
  <c r="BQ12" i="3"/>
  <c r="BS12" i="3"/>
  <c r="AN13" i="3"/>
  <c r="AK13" i="3"/>
  <c r="AO13" i="3"/>
  <c r="BW12" i="3"/>
  <c r="BS36" i="3"/>
  <c r="AL6" i="3"/>
  <c r="AI6" i="3"/>
  <c r="AI20" i="3"/>
  <c r="H141" i="5"/>
  <c r="I71" i="5"/>
  <c r="D12" i="5"/>
  <c r="L9" i="5" s="1"/>
  <c r="R6" i="5" s="1"/>
  <c r="Q6" i="5" s="1"/>
  <c r="D122" i="5"/>
  <c r="L119" i="5" s="1"/>
  <c r="R17" i="5" s="1"/>
  <c r="Q17" i="5" s="1"/>
  <c r="D112" i="5"/>
  <c r="L109" i="5" s="1"/>
  <c r="R16" i="5" s="1"/>
  <c r="Q16" i="5" s="1"/>
  <c r="D42" i="5"/>
  <c r="L39" i="5" s="1"/>
  <c r="R9" i="5" s="1"/>
  <c r="Q9" i="5" s="1"/>
  <c r="D52" i="5"/>
  <c r="L49" i="5" s="1"/>
  <c r="R10" i="5" s="1"/>
  <c r="Q10" i="5" s="1"/>
  <c r="D132" i="5"/>
  <c r="L129" i="5" s="1"/>
  <c r="R18" i="5" s="1"/>
  <c r="Q18" i="5" s="1"/>
  <c r="D32" i="5"/>
  <c r="L29" i="5" s="1"/>
  <c r="R8" i="5" s="1"/>
  <c r="Q8" i="5" s="1"/>
  <c r="H151" i="5"/>
  <c r="D102" i="5"/>
  <c r="L99" i="5" s="1"/>
  <c r="R15" i="5" s="1"/>
  <c r="Q15" i="5" s="1"/>
  <c r="D92" i="5"/>
  <c r="L89" i="5" s="1"/>
  <c r="R14" i="5" s="1"/>
  <c r="Q14" i="5" s="1"/>
  <c r="H61" i="5"/>
  <c r="F151" i="5"/>
  <c r="G81" i="5"/>
  <c r="D82" i="5" s="1"/>
  <c r="L79" i="5" s="1"/>
  <c r="R13" i="5" s="1"/>
  <c r="Q13" i="5" s="1"/>
  <c r="H71" i="5"/>
  <c r="I151" i="5"/>
  <c r="F161" i="5"/>
  <c r="G141" i="5"/>
  <c r="D142" i="5" s="1"/>
  <c r="L139" i="5" s="1"/>
  <c r="R19" i="5" s="1"/>
  <c r="Q19" i="5" s="1"/>
  <c r="G161" i="5"/>
  <c r="F21" i="5"/>
  <c r="G61" i="5"/>
  <c r="F71" i="5"/>
  <c r="E21" i="5"/>
  <c r="G21" i="5"/>
  <c r="G151" i="5"/>
  <c r="G71" i="5"/>
  <c r="BT24" i="3"/>
  <c r="AM20" i="3"/>
  <c r="BB22" i="3"/>
  <c r="BB16" i="3"/>
  <c r="BB10" i="3"/>
  <c r="BR40" i="3"/>
  <c r="BR42" i="3" s="1"/>
  <c r="BR29" i="3"/>
  <c r="BR30" i="3" s="1"/>
  <c r="BR17" i="3"/>
  <c r="BR18" i="3" s="1"/>
  <c r="AZ34" i="3"/>
  <c r="AZ28" i="3"/>
  <c r="AZ11" i="3"/>
  <c r="BV12" i="3"/>
  <c r="BD23" i="3"/>
  <c r="BD41" i="3"/>
  <c r="BD35" i="3"/>
  <c r="BL43" i="3"/>
  <c r="BL44" i="3" s="1"/>
  <c r="BD22" i="3"/>
  <c r="BD16" i="3"/>
  <c r="BD10" i="3"/>
  <c r="BB34" i="3"/>
  <c r="BB28" i="3"/>
  <c r="BB11" i="3"/>
  <c r="AZ22" i="3"/>
  <c r="AZ16" i="3"/>
  <c r="AZ10" i="3"/>
  <c r="BS40" i="3"/>
  <c r="BS42" i="3" s="1"/>
  <c r="BS29" i="3"/>
  <c r="BS30" i="3" s="1"/>
  <c r="BS17" i="3"/>
  <c r="BS18" i="3" s="1"/>
  <c r="BB40" i="3"/>
  <c r="BB29" i="3"/>
  <c r="BB17" i="3"/>
  <c r="BA34" i="3"/>
  <c r="BA28" i="3"/>
  <c r="BA11" i="3"/>
  <c r="BF23" i="3"/>
  <c r="BF41" i="3"/>
  <c r="BF35" i="3"/>
  <c r="AK6" i="3"/>
  <c r="AU43" i="3"/>
  <c r="AU44" i="3" s="1"/>
  <c r="W13" i="3"/>
  <c r="AL13" i="3"/>
  <c r="BU36" i="3"/>
  <c r="T20" i="3"/>
  <c r="BL31" i="3"/>
  <c r="BL32" i="3" s="1"/>
  <c r="BT40" i="3"/>
  <c r="BT42" i="3" s="1"/>
  <c r="BT29" i="3"/>
  <c r="BT30" i="3" s="1"/>
  <c r="BT17" i="3"/>
  <c r="BT18" i="3" s="1"/>
  <c r="BF40" i="3"/>
  <c r="BF29" i="3"/>
  <c r="BF17" i="3"/>
  <c r="BC28" i="3"/>
  <c r="BC11" i="3"/>
  <c r="BC34" i="3"/>
  <c r="AM6" i="3"/>
  <c r="T6" i="3"/>
  <c r="AD14" i="3"/>
  <c r="AD15" i="3" s="1"/>
  <c r="AI15" i="3" s="1"/>
  <c r="AU36" i="3"/>
  <c r="AU37" i="3" s="1"/>
  <c r="AU38" i="3" s="1"/>
  <c r="BC22" i="3"/>
  <c r="BC16" i="3"/>
  <c r="BC10" i="3"/>
  <c r="V20" i="3"/>
  <c r="BQ29" i="3"/>
  <c r="BQ30" i="3" s="1"/>
  <c r="BQ40" i="3"/>
  <c r="BQ42" i="3" s="1"/>
  <c r="BQ17" i="3"/>
  <c r="BQ18" i="3" s="1"/>
  <c r="BC40" i="3"/>
  <c r="BC29" i="3"/>
  <c r="BC17" i="3"/>
  <c r="BD34" i="3"/>
  <c r="BD28" i="3"/>
  <c r="BD11" i="3"/>
  <c r="BB35" i="3"/>
  <c r="BB23" i="3"/>
  <c r="BB41" i="3"/>
  <c r="AN6" i="3"/>
  <c r="BU12" i="3"/>
  <c r="BQ24" i="3"/>
  <c r="BA41" i="3"/>
  <c r="BA23" i="3"/>
  <c r="BA35" i="3"/>
  <c r="BL19" i="3"/>
  <c r="BL20" i="3" s="1"/>
  <c r="AU13" i="3"/>
  <c r="AU14" i="3" s="1"/>
  <c r="BQ36" i="3"/>
  <c r="AJ13" i="3"/>
  <c r="BA22" i="3"/>
  <c r="BA16" i="3"/>
  <c r="BA10" i="3"/>
  <c r="BU29" i="3"/>
  <c r="BU30" i="3" s="1"/>
  <c r="BU40" i="3"/>
  <c r="BU42" i="3" s="1"/>
  <c r="BU17" i="3"/>
  <c r="BU18" i="3" s="1"/>
  <c r="AZ40" i="3"/>
  <c r="AZ29" i="3"/>
  <c r="AZ17" i="3"/>
  <c r="BE34" i="3"/>
  <c r="BE28" i="3"/>
  <c r="BE11" i="3"/>
  <c r="BC35" i="3"/>
  <c r="BC23" i="3"/>
  <c r="BC41" i="3"/>
  <c r="BE29" i="3"/>
  <c r="BE40" i="3"/>
  <c r="BE17" i="3"/>
  <c r="BT12" i="3"/>
  <c r="AU19" i="3"/>
  <c r="AU20" i="3" s="1"/>
  <c r="AI13" i="3"/>
  <c r="AU31" i="3"/>
  <c r="AU32" i="3" s="1"/>
  <c r="BE22" i="3"/>
  <c r="BE24" i="3" s="1"/>
  <c r="BE16" i="3"/>
  <c r="BE10" i="3"/>
  <c r="BV40" i="3"/>
  <c r="BV42" i="3" s="1"/>
  <c r="BV29" i="3"/>
  <c r="BV30" i="3" s="1"/>
  <c r="BV17" i="3"/>
  <c r="BV18" i="3" s="1"/>
  <c r="BA29" i="3"/>
  <c r="BA17" i="3"/>
  <c r="BA40" i="3"/>
  <c r="BF28" i="3"/>
  <c r="BF11" i="3"/>
  <c r="BF34" i="3"/>
  <c r="BE41" i="3"/>
  <c r="BE35" i="3"/>
  <c r="BE23" i="3"/>
  <c r="AO6" i="3"/>
  <c r="BU24" i="3"/>
  <c r="V6" i="3"/>
  <c r="AU24" i="3"/>
  <c r="AU25" i="3" s="1"/>
  <c r="AU26" i="3" s="1"/>
  <c r="AM13" i="3"/>
  <c r="BW36" i="3"/>
  <c r="BF22" i="3"/>
  <c r="BF16" i="3"/>
  <c r="BF10" i="3"/>
  <c r="S20" i="3"/>
  <c r="BW40" i="3"/>
  <c r="BW42" i="3" s="1"/>
  <c r="BW17" i="3"/>
  <c r="BW18" i="3" s="1"/>
  <c r="BW29" i="3"/>
  <c r="BW30" i="3" s="1"/>
  <c r="BD29" i="3"/>
  <c r="BD17" i="3"/>
  <c r="BD40" i="3"/>
  <c r="AZ41" i="3"/>
  <c r="AZ35" i="3"/>
  <c r="AZ23" i="3"/>
  <c r="AJ6" i="3"/>
  <c r="Q6" i="3"/>
  <c r="BT36" i="3"/>
  <c r="BC12" i="3" l="1"/>
  <c r="BE42" i="3"/>
  <c r="Q14" i="3"/>
  <c r="AZ30" i="3"/>
  <c r="BA30" i="3"/>
  <c r="AZ12" i="3"/>
  <c r="BD24" i="3"/>
  <c r="BA42" i="3"/>
  <c r="BD42" i="3"/>
  <c r="BF24" i="3"/>
  <c r="BC42" i="3"/>
  <c r="BD18" i="3"/>
  <c r="BF42" i="3"/>
  <c r="Q21" i="3"/>
  <c r="AI21" i="3"/>
  <c r="BQ13" i="3"/>
  <c r="BQ14" i="3" s="1"/>
  <c r="BE30" i="3"/>
  <c r="AI7" i="3"/>
  <c r="BD12" i="3"/>
  <c r="BE18" i="3"/>
  <c r="BF12" i="3"/>
  <c r="BA24" i="3"/>
  <c r="BB12" i="3"/>
  <c r="Q7" i="3"/>
  <c r="BB18" i="3"/>
  <c r="D62" i="5"/>
  <c r="L59" i="5" s="1"/>
  <c r="R11" i="5" s="1"/>
  <c r="Q11" i="5" s="1"/>
  <c r="D162" i="5"/>
  <c r="L159" i="5" s="1"/>
  <c r="R21" i="5" s="1"/>
  <c r="Q21" i="5" s="1"/>
  <c r="D72" i="5"/>
  <c r="L69" i="5" s="1"/>
  <c r="R12" i="5" s="1"/>
  <c r="Q12" i="5" s="1"/>
  <c r="D22" i="5"/>
  <c r="L19" i="5" s="1"/>
  <c r="R7" i="5" s="1"/>
  <c r="Q7" i="5" s="1"/>
  <c r="D152" i="5"/>
  <c r="L149" i="5" s="1"/>
  <c r="R20" i="5" s="1"/>
  <c r="Q20" i="5" s="1"/>
  <c r="BQ19" i="3"/>
  <c r="BQ20" i="3" s="1"/>
  <c r="BF30" i="3"/>
  <c r="BE12" i="3"/>
  <c r="BQ43" i="3"/>
  <c r="BQ44" i="3" s="1"/>
  <c r="BQ31" i="3"/>
  <c r="BQ32" i="3" s="1"/>
  <c r="BA36" i="3"/>
  <c r="AZ18" i="3"/>
  <c r="AZ36" i="3"/>
  <c r="BB24" i="3"/>
  <c r="BE36" i="3"/>
  <c r="BA12" i="3"/>
  <c r="AZ24" i="3"/>
  <c r="BA18" i="3"/>
  <c r="BD30" i="3"/>
  <c r="AI14" i="3"/>
  <c r="BQ25" i="3"/>
  <c r="BQ26" i="3" s="1"/>
  <c r="BD36" i="3"/>
  <c r="BC36" i="3"/>
  <c r="BB42" i="3"/>
  <c r="BF36" i="3"/>
  <c r="AZ42" i="3"/>
  <c r="BC18" i="3"/>
  <c r="BB30" i="3"/>
  <c r="BF18" i="3"/>
  <c r="BQ37" i="3"/>
  <c r="BQ38" i="3" s="1"/>
  <c r="BC24" i="3"/>
  <c r="BC30" i="3"/>
  <c r="BB36" i="3"/>
  <c r="AZ13" i="3" l="1"/>
  <c r="AZ14" i="3" s="1"/>
  <c r="AZ37" i="3"/>
  <c r="AZ38" i="3" s="1"/>
  <c r="AZ31" i="3"/>
  <c r="AZ32" i="3" s="1"/>
  <c r="AZ19" i="3"/>
  <c r="AZ20" i="3" s="1"/>
  <c r="AZ43" i="3"/>
  <c r="AZ44" i="3" s="1"/>
  <c r="AZ25" i="3"/>
  <c r="AZ26" i="3" s="1"/>
  <c r="G33" i="1" l="1"/>
  <c r="E33" i="1"/>
  <c r="F33" i="1" s="1"/>
  <c r="G27" i="1"/>
  <c r="G28" i="1"/>
  <c r="G29" i="1"/>
  <c r="G30" i="1"/>
  <c r="G31" i="1"/>
  <c r="G32" i="1"/>
  <c r="F27" i="1"/>
  <c r="F29" i="1"/>
  <c r="E27" i="1"/>
  <c r="E28" i="1"/>
  <c r="F28" i="1" s="1"/>
  <c r="E29" i="1"/>
  <c r="E30" i="1"/>
  <c r="F30" i="1" s="1"/>
  <c r="E31" i="1"/>
  <c r="F31" i="1" s="1"/>
  <c r="E32" i="1"/>
  <c r="F32" i="1" s="1"/>
  <c r="G26" i="1"/>
  <c r="E26" i="1"/>
  <c r="F26" i="1" s="1"/>
  <c r="G23" i="1"/>
  <c r="F23" i="1"/>
  <c r="E23" i="1"/>
  <c r="G22" i="1"/>
  <c r="F22" i="1"/>
  <c r="E22" i="1"/>
  <c r="G21" i="1"/>
  <c r="F21" i="1"/>
  <c r="E21" i="1"/>
  <c r="E24" i="1"/>
  <c r="F24" i="1" s="1"/>
  <c r="G34" i="1"/>
  <c r="G24" i="1"/>
  <c r="E34" i="1"/>
  <c r="F34" i="1" s="1"/>
  <c r="G20" i="1"/>
  <c r="G25" i="1"/>
  <c r="G19" i="1"/>
  <c r="E2" i="1"/>
  <c r="E1" i="1"/>
  <c r="F9" i="2"/>
  <c r="G9" i="2"/>
  <c r="H9" i="2"/>
  <c r="I9" i="2"/>
  <c r="F10" i="2"/>
  <c r="G10" i="2"/>
  <c r="H10" i="2"/>
  <c r="I10" i="2"/>
  <c r="F11" i="2"/>
  <c r="G11" i="2"/>
  <c r="H11" i="2"/>
  <c r="I11" i="2"/>
  <c r="G8" i="2"/>
  <c r="H8" i="2"/>
  <c r="I8" i="2"/>
  <c r="F8" i="2"/>
  <c r="C9" i="2"/>
  <c r="C10" i="2"/>
  <c r="C11" i="2"/>
  <c r="C8" i="2"/>
  <c r="E20" i="1"/>
  <c r="F20" i="1" s="1"/>
  <c r="E25" i="1"/>
  <c r="F25" i="1" s="1"/>
  <c r="E19" i="1"/>
  <c r="F19" i="1" s="1"/>
  <c r="D6" i="1"/>
  <c r="F6" i="1" s="1"/>
  <c r="P5" i="1"/>
  <c r="N13" i="1" s="1"/>
  <c r="Q5" i="1"/>
  <c r="N17" i="1" s="1"/>
  <c r="O5" i="1"/>
  <c r="N9" i="1" s="1"/>
  <c r="N5" i="1"/>
  <c r="M24" i="1" s="1"/>
  <c r="M5" i="1"/>
  <c r="L24" i="1" s="1"/>
  <c r="L5" i="1"/>
  <c r="K24" i="1" s="1"/>
  <c r="K5" i="1"/>
  <c r="K6" i="1" s="1"/>
  <c r="K7" i="1" s="1"/>
  <c r="S5" i="1"/>
  <c r="T5" i="1"/>
  <c r="U5" i="1"/>
  <c r="R5" i="1"/>
  <c r="E4" i="1"/>
  <c r="F5" i="1"/>
  <c r="E5" i="1"/>
  <c r="F4" i="1"/>
  <c r="J24" i="1" l="1"/>
  <c r="M6" i="1"/>
  <c r="M7" i="1" s="1"/>
  <c r="L9" i="1" s="1"/>
  <c r="E6" i="1"/>
  <c r="L6" i="1"/>
  <c r="L7" i="1" s="1"/>
  <c r="K9" i="1" s="1"/>
  <c r="N10" i="1" s="1"/>
  <c r="N11" i="1" s="1"/>
  <c r="M13" i="1" s="1"/>
  <c r="N6" i="1"/>
  <c r="N7" i="1" s="1"/>
  <c r="M9" i="1" s="1"/>
  <c r="R6" i="1"/>
  <c r="M10" i="1" l="1"/>
  <c r="M11" i="1" s="1"/>
  <c r="L13" i="1" s="1"/>
  <c r="L10" i="1"/>
  <c r="L11" i="1" s="1"/>
  <c r="K13" i="1" s="1"/>
  <c r="N14" i="1" s="1"/>
  <c r="N15" i="1" s="1"/>
  <c r="M17" i="1" s="1"/>
  <c r="K10" i="1"/>
  <c r="S6" i="1" s="1"/>
  <c r="M14" i="1" l="1"/>
  <c r="M15" i="1" s="1"/>
  <c r="L17" i="1" s="1"/>
  <c r="L14" i="1"/>
  <c r="L15" i="1" s="1"/>
  <c r="K17" i="1" s="1"/>
  <c r="N18" i="1" s="1"/>
  <c r="N19" i="1" s="1"/>
  <c r="N20" i="1" s="1"/>
  <c r="P24" i="1" s="1"/>
  <c r="K14" i="1"/>
  <c r="T6" i="1" s="1"/>
  <c r="K11" i="1"/>
  <c r="K15" i="1" l="1"/>
  <c r="L18" i="1"/>
  <c r="L19" i="1" s="1"/>
  <c r="L20" i="1" s="1"/>
  <c r="M18" i="1"/>
  <c r="M19" i="1" s="1"/>
  <c r="M20" i="1" s="1"/>
  <c r="O24" i="1" s="1"/>
  <c r="K18" i="1"/>
  <c r="U6" i="1" s="1"/>
  <c r="R8" i="1" s="1"/>
  <c r="D7" i="1" l="1"/>
  <c r="F7" i="1" s="1"/>
  <c r="L21" i="1"/>
  <c r="D8" i="1" s="1"/>
  <c r="E8" i="1" s="1"/>
  <c r="N24" i="1"/>
  <c r="N25" i="1" s="1"/>
  <c r="K19" i="1"/>
  <c r="E7" i="1" l="1"/>
  <c r="D9" i="1"/>
  <c r="E9" i="1" s="1"/>
  <c r="F8" i="1"/>
  <c r="C10" i="1" l="1"/>
  <c r="F9" i="1"/>
  <c r="D3" i="3"/>
</calcChain>
</file>

<file path=xl/sharedStrings.xml><?xml version="1.0" encoding="utf-8"?>
<sst xmlns="http://schemas.openxmlformats.org/spreadsheetml/2006/main" count="711" uniqueCount="187">
  <si>
    <t>X^3</t>
  </si>
  <si>
    <t>X^2</t>
  </si>
  <si>
    <t>X^1</t>
  </si>
  <si>
    <t>X^0</t>
  </si>
  <si>
    <t/>
  </si>
  <si>
    <t>Бин код</t>
  </si>
  <si>
    <t>Hex код</t>
  </si>
  <si>
    <t>Dec код</t>
  </si>
  <si>
    <t>Порядок</t>
  </si>
  <si>
    <t>Делимое</t>
  </si>
  <si>
    <t>Делитель</t>
  </si>
  <si>
    <t>Образующий полином g(X)</t>
  </si>
  <si>
    <t xml:space="preserve"> =&gt;</t>
  </si>
  <si>
    <t>1011</t>
  </si>
  <si>
    <t>X^6</t>
  </si>
  <si>
    <t>X^5</t>
  </si>
  <si>
    <t>X^4</t>
  </si>
  <si>
    <t>&lt;=</t>
  </si>
  <si>
    <t>0010</t>
  </si>
  <si>
    <t>+</t>
  </si>
  <si>
    <t>Частное от деления</t>
  </si>
  <si>
    <t>Частное от деления полиномов</t>
  </si>
  <si>
    <t>X5</t>
  </si>
  <si>
    <t>X4</t>
  </si>
  <si>
    <t>X3</t>
  </si>
  <si>
    <t>X2</t>
  </si>
  <si>
    <t xml:space="preserve">Остаток от деления   </t>
  </si>
  <si>
    <t>Кодовая комбинация ЦК</t>
  </si>
  <si>
    <t>0010110</t>
  </si>
  <si>
    <t>Вес кода</t>
  </si>
  <si>
    <t>X1</t>
  </si>
  <si>
    <t>X0</t>
  </si>
  <si>
    <t>Цикл сдвиг</t>
  </si>
  <si>
    <t>SC</t>
  </si>
  <si>
    <t>FS_bin</t>
  </si>
  <si>
    <t>FS_dec</t>
  </si>
  <si>
    <t>Вес</t>
  </si>
  <si>
    <t>1110100</t>
  </si>
  <si>
    <t>Остаток R1(X)=</t>
  </si>
  <si>
    <t>1101001</t>
  </si>
  <si>
    <r>
      <t>g(X)=X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+X+1</t>
    </r>
  </si>
  <si>
    <r>
      <t>Кодовая комбинация A</t>
    </r>
    <r>
      <rPr>
        <vertAlign val="subscript"/>
        <sz val="14"/>
        <rFont val="Times New Roman"/>
        <family val="1"/>
        <charset val="204"/>
      </rPr>
      <t>1</t>
    </r>
  </si>
  <si>
    <r>
      <t>Домножение полинома A</t>
    </r>
    <r>
      <rPr>
        <vertAlign val="subscript"/>
        <sz val="14"/>
        <rFont val="Times New Roman"/>
        <family val="1"/>
        <charset val="204"/>
      </rPr>
      <t>1</t>
    </r>
    <r>
      <rPr>
        <sz val="14"/>
        <rFont val="Times New Roman"/>
        <family val="1"/>
        <charset val="204"/>
      </rPr>
      <t xml:space="preserve"> на X^3 </t>
    </r>
  </si>
  <si>
    <r>
      <t xml:space="preserve"> =(X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)*X</t>
    </r>
    <r>
      <rPr>
        <vertAlign val="superscript"/>
        <sz val="14"/>
        <rFont val="Times New Roman"/>
        <family val="1"/>
        <charset val="204"/>
      </rPr>
      <t>3</t>
    </r>
  </si>
  <si>
    <r>
      <t>Остаток R(X)=X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+X</t>
    </r>
  </si>
  <si>
    <r>
      <t>B</t>
    </r>
    <r>
      <rPr>
        <vertAlign val="subscript"/>
        <sz val="14"/>
        <rFont val="Times New Roman"/>
        <family val="1"/>
        <charset val="204"/>
      </rPr>
      <t>1</t>
    </r>
    <r>
      <rPr>
        <sz val="14"/>
        <rFont val="Times New Roman"/>
        <family val="1"/>
        <charset val="204"/>
      </rPr>
      <t>(X)= A</t>
    </r>
    <r>
      <rPr>
        <vertAlign val="subscript"/>
        <sz val="14"/>
        <rFont val="Times New Roman"/>
        <family val="1"/>
        <charset val="204"/>
      </rPr>
      <t>1</t>
    </r>
    <r>
      <rPr>
        <sz val="14"/>
        <rFont val="Times New Roman"/>
        <family val="1"/>
        <charset val="204"/>
      </rPr>
      <t>(X)*X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+R</t>
    </r>
    <r>
      <rPr>
        <vertAlign val="subscript"/>
        <sz val="14"/>
        <rFont val="Times New Roman"/>
        <family val="1"/>
        <charset val="204"/>
      </rPr>
      <t>1</t>
    </r>
    <r>
      <rPr>
        <sz val="14"/>
        <rFont val="Times New Roman"/>
        <family val="1"/>
        <charset val="204"/>
      </rPr>
      <t>(X)</t>
    </r>
  </si>
  <si>
    <t>Полином</t>
  </si>
  <si>
    <t>Вторичные коды чисел могут быть получены путем сложения по модулю 2 вторичных кодов чисел для целых степеней двойки, из которых формируется код исходного числа.</t>
  </si>
  <si>
    <t>Таким образом, для раюоты с четырехразрядными двоичными кодами, достаточно знать коды каких чисел? Скажите пожалуйста. 2^0, 2^1, 2^2 и 2^3 - 1, 2, 4, 8</t>
  </si>
  <si>
    <t>Код числа B в этом случае будет сформирован как сумма чего? Битов сколько у нас с вами? Битов у нас 11. Код числа 8 + 2 + 1. Открываете работу №2 и ее делаете</t>
  </si>
  <si>
    <r>
      <t>A</t>
    </r>
    <r>
      <rPr>
        <vertAlign val="subscript"/>
        <sz val="14"/>
        <rFont val="Times New Roman"/>
        <family val="1"/>
        <charset val="204"/>
      </rPr>
      <t>1</t>
    </r>
    <r>
      <rPr>
        <sz val="14"/>
        <rFont val="Times New Roman"/>
        <family val="1"/>
        <charset val="204"/>
      </rPr>
      <t>(X)=X</t>
    </r>
  </si>
  <si>
    <t>Исходное кодовое слово</t>
  </si>
  <si>
    <t>Проверочные биты</t>
  </si>
  <si>
    <t>Вариант №</t>
  </si>
  <si>
    <t>Десятичное число 1</t>
  </si>
  <si>
    <t>Десятичное число 2</t>
  </si>
  <si>
    <t>Десятичное число 3</t>
  </si>
  <si>
    <t>Исходные данные для проверки свойств циклических кодов</t>
  </si>
  <si>
    <t>Таблица 2. Исходные данные для кодирования циклическим кодов</t>
  </si>
  <si>
    <t>Число 1</t>
  </si>
  <si>
    <t>Число 2</t>
  </si>
  <si>
    <t>Число 3</t>
  </si>
  <si>
    <t>Число 4</t>
  </si>
  <si>
    <t>Разряды первичного кода</t>
  </si>
  <si>
    <t>P1</t>
  </si>
  <si>
    <t>P2</t>
  </si>
  <si>
    <t>P3</t>
  </si>
  <si>
    <t>P4</t>
  </si>
  <si>
    <t>Dec</t>
  </si>
  <si>
    <t>Bin</t>
  </si>
  <si>
    <t>Bin ЦК</t>
  </si>
  <si>
    <t>Разряды вторичного кода</t>
  </si>
  <si>
    <t>p1</t>
  </si>
  <si>
    <t>p2</t>
  </si>
  <si>
    <t>p3</t>
  </si>
  <si>
    <t>p4</t>
  </si>
  <si>
    <t>p5</t>
  </si>
  <si>
    <t>p6</t>
  </si>
  <si>
    <t>p7</t>
  </si>
  <si>
    <t>Вариант 10</t>
  </si>
  <si>
    <t>№</t>
  </si>
  <si>
    <t>0111</t>
  </si>
  <si>
    <t>010</t>
  </si>
  <si>
    <t>0111010</t>
  </si>
  <si>
    <t>0101</t>
  </si>
  <si>
    <t>0101100</t>
  </si>
  <si>
    <t>0000</t>
  </si>
  <si>
    <t>0000000</t>
  </si>
  <si>
    <t>1111111</t>
  </si>
  <si>
    <t>1011000</t>
  </si>
  <si>
    <t>1101</t>
  </si>
  <si>
    <t>1110</t>
  </si>
  <si>
    <t>1111</t>
  </si>
  <si>
    <t>1010</t>
  </si>
  <si>
    <t>0001</t>
  </si>
  <si>
    <t>0001011</t>
  </si>
  <si>
    <t>0011</t>
  </si>
  <si>
    <t>0011101</t>
  </si>
  <si>
    <t>0100</t>
  </si>
  <si>
    <t>0100111</t>
  </si>
  <si>
    <t>0110</t>
  </si>
  <si>
    <t>0110001</t>
  </si>
  <si>
    <t>1000</t>
  </si>
  <si>
    <t>1000101</t>
  </si>
  <si>
    <t>1001</t>
  </si>
  <si>
    <t>1001110</t>
  </si>
  <si>
    <t>1100</t>
  </si>
  <si>
    <t>1010011</t>
  </si>
  <si>
    <t>1100010</t>
  </si>
  <si>
    <t>ПерввКодБит</t>
  </si>
  <si>
    <t>ПервКодДес</t>
  </si>
  <si>
    <t>ВторКод</t>
  </si>
  <si>
    <t>ВторКодДес</t>
  </si>
  <si>
    <t>BinFC</t>
  </si>
  <si>
    <t>BinSC</t>
  </si>
  <si>
    <t>ПК</t>
  </si>
  <si>
    <t>ВК</t>
  </si>
  <si>
    <t>Исходные числа и их коды</t>
  </si>
  <si>
    <t>Разряды ПК</t>
  </si>
  <si>
    <t>Разряды ВК</t>
  </si>
  <si>
    <t>СуммаРазр</t>
  </si>
  <si>
    <t>Кодовая таблица ЦК для ОП g(x) =</t>
  </si>
  <si>
    <t>Образующий полином</t>
  </si>
  <si>
    <t>Первичный код_1</t>
  </si>
  <si>
    <t>Старшие разряды вторичного кода (первичный код_2)</t>
  </si>
  <si>
    <t>Вторичный код</t>
  </si>
  <si>
    <t>0001101</t>
  </si>
  <si>
    <t>0010111</t>
  </si>
  <si>
    <t>0011010</t>
  </si>
  <si>
    <t>0100011</t>
  </si>
  <si>
    <t>0101110</t>
  </si>
  <si>
    <t>0110100</t>
  </si>
  <si>
    <t>0111001</t>
  </si>
  <si>
    <t>1000110</t>
  </si>
  <si>
    <t>1001011</t>
  </si>
  <si>
    <t>1010001</t>
  </si>
  <si>
    <t>1011100</t>
  </si>
  <si>
    <t>1100101</t>
  </si>
  <si>
    <t>1101000</t>
  </si>
  <si>
    <t>1110010</t>
  </si>
  <si>
    <t>Первичный код</t>
  </si>
  <si>
    <t>Слагаемые при умножении кодов</t>
  </si>
  <si>
    <t>ОП g(x)=</t>
  </si>
  <si>
    <t>Первичный код 2</t>
  </si>
  <si>
    <t>Произведение кодов</t>
  </si>
  <si>
    <t>x^3 + x^2 + 1</t>
  </si>
  <si>
    <t>Таблица кодов при умножении на ОП g(x)=</t>
  </si>
  <si>
    <t>x6</t>
  </si>
  <si>
    <t>x5</t>
  </si>
  <si>
    <t>x4</t>
  </si>
  <si>
    <t>x3</t>
  </si>
  <si>
    <t>x2</t>
  </si>
  <si>
    <t>x1</t>
  </si>
  <si>
    <t>x0</t>
  </si>
  <si>
    <t>Fcode_8</t>
  </si>
  <si>
    <t>Ecode_8</t>
  </si>
  <si>
    <t>G=</t>
  </si>
  <si>
    <t>=</t>
  </si>
  <si>
    <t>Fcode_4</t>
  </si>
  <si>
    <t>Ecode_4</t>
  </si>
  <si>
    <t>Fcode_2</t>
  </si>
  <si>
    <t>Ecode_2</t>
  </si>
  <si>
    <t>Fcode_1</t>
  </si>
  <si>
    <t>Ecode_1</t>
  </si>
  <si>
    <t>SecondCode</t>
  </si>
  <si>
    <t>FirstCode</t>
  </si>
  <si>
    <t>SecBinCode</t>
  </si>
  <si>
    <t>SBinCode</t>
  </si>
  <si>
    <t>FHex</t>
  </si>
  <si>
    <t>FD=</t>
  </si>
  <si>
    <t>=&gt;</t>
  </si>
  <si>
    <t>*</t>
  </si>
  <si>
    <t>Проверка</t>
  </si>
  <si>
    <t>A</t>
  </si>
  <si>
    <t>F</t>
  </si>
  <si>
    <t>C</t>
  </si>
  <si>
    <t>B</t>
  </si>
  <si>
    <t>HexSCode</t>
  </si>
  <si>
    <t>HexFCode</t>
  </si>
  <si>
    <t>Исходное сообщение</t>
  </si>
  <si>
    <t>Кодированное сообщение</t>
  </si>
  <si>
    <t>Длинна исходного сообщения</t>
  </si>
  <si>
    <t>Длинна кодированного сообщения</t>
  </si>
  <si>
    <t>Hex</t>
  </si>
  <si>
    <t>Кодовая таблица</t>
  </si>
  <si>
    <t>Символ</t>
  </si>
  <si>
    <t>Шестн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</si>
</sst>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95">
    <xf numFmtId="0" fontId="0" fillId="0" borderId="0" xfId="0"/>
    <xf numFmtId="0" fontId="3" fillId="0" borderId="0" xfId="2" applyFont="1"/>
    <xf numFmtId="0" fontId="3" fillId="0" borderId="0" xfId="2" applyFont="1" applyAlignment="1">
      <alignment horizontal="center" vertical="center"/>
    </xf>
    <xf numFmtId="0" fontId="4" fillId="0" borderId="0" xfId="0" applyFont="1"/>
    <xf numFmtId="0" fontId="3" fillId="0" borderId="0" xfId="2" applyFont="1" applyAlignment="1">
      <alignment horizontal="center"/>
    </xf>
    <xf numFmtId="0" fontId="3" fillId="0" borderId="6" xfId="2" applyFont="1" applyBorder="1" applyAlignment="1">
      <alignment horizontal="center" vertical="center"/>
    </xf>
    <xf numFmtId="0" fontId="3" fillId="0" borderId="20" xfId="2" applyFont="1" applyBorder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2" xfId="2" quotePrefix="1" applyFont="1" applyBorder="1" applyAlignment="1">
      <alignment horizontal="center" vertical="center"/>
    </xf>
    <xf numFmtId="0" fontId="3" fillId="6" borderId="18" xfId="2" applyFont="1" applyFill="1" applyBorder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3" fillId="0" borderId="26" xfId="2" quotePrefix="1" applyFont="1" applyBorder="1" applyAlignment="1">
      <alignment horizontal="center" vertical="center"/>
    </xf>
    <xf numFmtId="2" fontId="3" fillId="0" borderId="0" xfId="2" applyNumberFormat="1" applyFont="1" applyAlignment="1">
      <alignment horizontal="center" vertical="center"/>
    </xf>
    <xf numFmtId="0" fontId="3" fillId="0" borderId="7" xfId="2" applyFont="1" applyBorder="1" applyAlignment="1">
      <alignment horizontal="center"/>
    </xf>
    <xf numFmtId="0" fontId="3" fillId="0" borderId="0" xfId="2" applyFont="1" applyAlignment="1">
      <alignment vertical="center"/>
    </xf>
    <xf numFmtId="0" fontId="3" fillId="0" borderId="24" xfId="2" applyFont="1" applyBorder="1" applyAlignment="1">
      <alignment vertical="center"/>
    </xf>
    <xf numFmtId="0" fontId="3" fillId="0" borderId="2" xfId="2" applyFont="1" applyBorder="1" applyAlignment="1">
      <alignment horizontal="center"/>
    </xf>
    <xf numFmtId="0" fontId="3" fillId="5" borderId="17" xfId="2" applyFont="1" applyFill="1" applyBorder="1"/>
    <xf numFmtId="0" fontId="3" fillId="5" borderId="19" xfId="2" applyFont="1" applyFill="1" applyBorder="1"/>
    <xf numFmtId="0" fontId="3" fillId="7" borderId="2" xfId="2" applyFont="1" applyFill="1" applyBorder="1" applyAlignment="1">
      <alignment horizontal="center"/>
    </xf>
    <xf numFmtId="49" fontId="3" fillId="7" borderId="2" xfId="2" applyNumberFormat="1" applyFont="1" applyFill="1" applyBorder="1" applyAlignment="1">
      <alignment horizontal="center"/>
    </xf>
    <xf numFmtId="0" fontId="3" fillId="6" borderId="12" xfId="2" applyFont="1" applyFill="1" applyBorder="1" applyAlignment="1">
      <alignment horizontal="center" vertical="center"/>
    </xf>
    <xf numFmtId="0" fontId="3" fillId="5" borderId="22" xfId="2" applyFont="1" applyFill="1" applyBorder="1" applyAlignment="1">
      <alignment horizontal="center" vertical="center"/>
    </xf>
    <xf numFmtId="0" fontId="3" fillId="5" borderId="17" xfId="2" applyFont="1" applyFill="1" applyBorder="1" applyAlignment="1">
      <alignment horizontal="center" vertical="center"/>
    </xf>
    <xf numFmtId="0" fontId="3" fillId="5" borderId="0" xfId="2" applyFont="1" applyFill="1"/>
    <xf numFmtId="0" fontId="3" fillId="4" borderId="21" xfId="2" applyFont="1" applyFill="1" applyBorder="1" applyAlignment="1">
      <alignment horizontal="center" vertical="center"/>
    </xf>
    <xf numFmtId="0" fontId="7" fillId="5" borderId="22" xfId="2" applyFont="1" applyFill="1" applyBorder="1" applyAlignment="1">
      <alignment horizontal="center" vertical="center"/>
    </xf>
    <xf numFmtId="0" fontId="7" fillId="5" borderId="17" xfId="2" applyFont="1" applyFill="1" applyBorder="1" applyAlignment="1">
      <alignment horizontal="center" vertical="center"/>
    </xf>
    <xf numFmtId="49" fontId="3" fillId="5" borderId="17" xfId="2" applyNumberFormat="1" applyFont="1" applyFill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24" xfId="2" applyFont="1" applyBorder="1"/>
    <xf numFmtId="0" fontId="3" fillId="5" borderId="27" xfId="2" applyFont="1" applyFill="1" applyBorder="1"/>
    <xf numFmtId="0" fontId="3" fillId="0" borderId="3" xfId="2" applyFont="1" applyBorder="1" applyAlignment="1">
      <alignment horizontal="left" wrapText="1"/>
    </xf>
    <xf numFmtId="0" fontId="3" fillId="0" borderId="4" xfId="2" applyFont="1" applyBorder="1" applyAlignment="1">
      <alignment horizontal="left"/>
    </xf>
    <xf numFmtId="0" fontId="3" fillId="0" borderId="2" xfId="2" applyFont="1" applyBorder="1" applyAlignment="1">
      <alignment horizontal="left" vertical="center"/>
    </xf>
    <xf numFmtId="0" fontId="3" fillId="0" borderId="26" xfId="2" applyFont="1" applyBorder="1" applyAlignment="1">
      <alignment horizontal="left" vertical="center"/>
    </xf>
    <xf numFmtId="0" fontId="3" fillId="0" borderId="7" xfId="2" applyFont="1" applyBorder="1" applyAlignment="1">
      <alignment horizontal="left"/>
    </xf>
    <xf numFmtId="0" fontId="3" fillId="8" borderId="6" xfId="2" applyFont="1" applyFill="1" applyBorder="1" applyAlignment="1">
      <alignment horizontal="center" vertical="center"/>
    </xf>
    <xf numFmtId="0" fontId="3" fillId="0" borderId="28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4" fillId="9" borderId="0" xfId="0" applyFont="1" applyFill="1"/>
    <xf numFmtId="49" fontId="4" fillId="9" borderId="0" xfId="0" applyNumberFormat="1" applyFont="1" applyFill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0" fontId="3" fillId="0" borderId="31" xfId="2" applyFont="1" applyBorder="1" applyAlignment="1">
      <alignment horizontal="left" wrapText="1"/>
    </xf>
    <xf numFmtId="0" fontId="3" fillId="0" borderId="32" xfId="2" applyFont="1" applyBorder="1" applyAlignment="1">
      <alignment horizontal="left" vertical="center"/>
    </xf>
    <xf numFmtId="0" fontId="3" fillId="0" borderId="32" xfId="2" quotePrefix="1" applyFont="1" applyBorder="1" applyAlignment="1">
      <alignment horizontal="center" vertical="center"/>
    </xf>
    <xf numFmtId="0" fontId="3" fillId="0" borderId="32" xfId="2" applyFont="1" applyBorder="1" applyAlignment="1">
      <alignment horizontal="center" vertical="center"/>
    </xf>
    <xf numFmtId="0" fontId="3" fillId="8" borderId="33" xfId="2" applyFont="1" applyFill="1" applyBorder="1" applyAlignment="1">
      <alignment horizontal="center" vertical="center"/>
    </xf>
    <xf numFmtId="0" fontId="3" fillId="0" borderId="34" xfId="2" applyFont="1" applyBorder="1" applyAlignment="1">
      <alignment horizontal="center" vertical="center"/>
    </xf>
    <xf numFmtId="0" fontId="3" fillId="0" borderId="4" xfId="2" applyFont="1" applyBorder="1" applyAlignment="1">
      <alignment horizontal="left" wrapText="1"/>
    </xf>
    <xf numFmtId="0" fontId="3" fillId="0" borderId="7" xfId="2" applyFont="1" applyBorder="1" applyAlignment="1">
      <alignment horizontal="left" vertical="center"/>
    </xf>
    <xf numFmtId="0" fontId="3" fillId="0" borderId="7" xfId="2" applyFont="1" applyBorder="1" applyAlignment="1">
      <alignment horizontal="center" vertical="center"/>
    </xf>
    <xf numFmtId="0" fontId="3" fillId="8" borderId="35" xfId="2" applyFont="1" applyFill="1" applyBorder="1" applyAlignment="1">
      <alignment horizontal="center" vertical="center"/>
    </xf>
    <xf numFmtId="0" fontId="3" fillId="0" borderId="36" xfId="2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8" borderId="7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25" xfId="2" applyFont="1" applyBorder="1" applyAlignment="1">
      <alignment horizontal="left" vertical="center" wrapText="1"/>
    </xf>
    <xf numFmtId="0" fontId="3" fillId="0" borderId="14" xfId="2" applyFont="1" applyBorder="1"/>
    <xf numFmtId="0" fontId="3" fillId="0" borderId="15" xfId="2" applyFont="1" applyBorder="1"/>
    <xf numFmtId="0" fontId="3" fillId="0" borderId="1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49" fontId="3" fillId="9" borderId="7" xfId="2" applyNumberFormat="1" applyFont="1" applyFill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7" borderId="3" xfId="2" applyFont="1" applyFill="1" applyBorder="1" applyAlignment="1">
      <alignment horizontal="center"/>
    </xf>
    <xf numFmtId="0" fontId="3" fillId="5" borderId="3" xfId="2" applyFont="1" applyFill="1" applyBorder="1" applyAlignment="1">
      <alignment horizontal="center"/>
    </xf>
    <xf numFmtId="0" fontId="3" fillId="5" borderId="4" xfId="2" applyFont="1" applyFill="1" applyBorder="1" applyAlignment="1">
      <alignment horizontal="center"/>
    </xf>
    <xf numFmtId="0" fontId="3" fillId="0" borderId="30" xfId="2" applyFont="1" applyBorder="1" applyAlignment="1">
      <alignment horizontal="center" vertical="center"/>
    </xf>
    <xf numFmtId="0" fontId="3" fillId="4" borderId="28" xfId="2" applyFont="1" applyFill="1" applyBorder="1" applyAlignment="1">
      <alignment horizontal="center" vertical="center"/>
    </xf>
    <xf numFmtId="0" fontId="3" fillId="2" borderId="18" xfId="2" applyFont="1" applyFill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49" fontId="3" fillId="3" borderId="32" xfId="2" applyNumberFormat="1" applyFont="1" applyFill="1" applyBorder="1" applyAlignment="1">
      <alignment horizontal="center" vertical="center"/>
    </xf>
    <xf numFmtId="0" fontId="3" fillId="0" borderId="43" xfId="2" applyFont="1" applyBorder="1" applyAlignment="1">
      <alignment horizontal="center" vertical="center"/>
    </xf>
    <xf numFmtId="0" fontId="3" fillId="0" borderId="35" xfId="2" applyFont="1" applyBorder="1" applyAlignment="1">
      <alignment horizontal="center" vertical="center"/>
    </xf>
    <xf numFmtId="49" fontId="3" fillId="7" borderId="2" xfId="2" applyNumberFormat="1" applyFont="1" applyFill="1" applyBorder="1" applyAlignment="1">
      <alignment horizontal="center" vertical="center"/>
    </xf>
    <xf numFmtId="49" fontId="3" fillId="5" borderId="2" xfId="2" applyNumberFormat="1" applyFont="1" applyFill="1" applyBorder="1" applyAlignment="1">
      <alignment horizontal="center" vertical="center"/>
    </xf>
    <xf numFmtId="49" fontId="3" fillId="5" borderId="7" xfId="2" applyNumberFormat="1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3" fillId="7" borderId="44" xfId="2" applyNumberFormat="1" applyFont="1" applyFill="1" applyBorder="1" applyAlignment="1">
      <alignment horizontal="center"/>
    </xf>
    <xf numFmtId="49" fontId="4" fillId="0" borderId="44" xfId="0" applyNumberFormat="1" applyFont="1" applyBorder="1" applyAlignment="1">
      <alignment horizontal="center" vertical="center"/>
    </xf>
    <xf numFmtId="49" fontId="3" fillId="5" borderId="44" xfId="2" applyNumberFormat="1" applyFont="1" applyFill="1" applyBorder="1" applyAlignment="1">
      <alignment horizontal="center" vertical="center"/>
    </xf>
    <xf numFmtId="49" fontId="3" fillId="7" borderId="44" xfId="2" applyNumberFormat="1" applyFont="1" applyFill="1" applyBorder="1" applyAlignment="1">
      <alignment horizontal="center" vertical="center"/>
    </xf>
    <xf numFmtId="49" fontId="4" fillId="0" borderId="44" xfId="0" applyNumberFormat="1" applyFont="1" applyBorder="1" applyAlignment="1">
      <alignment horizontal="center"/>
    </xf>
    <xf numFmtId="49" fontId="3" fillId="5" borderId="45" xfId="2" applyNumberFormat="1" applyFont="1" applyFill="1" applyBorder="1" applyAlignment="1">
      <alignment horizontal="center" vertical="center"/>
    </xf>
    <xf numFmtId="49" fontId="3" fillId="7" borderId="26" xfId="2" applyNumberFormat="1" applyFont="1" applyFill="1" applyBorder="1" applyAlignment="1">
      <alignment horizontal="center"/>
    </xf>
    <xf numFmtId="49" fontId="4" fillId="0" borderId="26" xfId="0" applyNumberFormat="1" applyFont="1" applyBorder="1" applyAlignment="1">
      <alignment horizontal="center" vertical="center"/>
    </xf>
    <xf numFmtId="49" fontId="3" fillId="5" borderId="26" xfId="2" applyNumberFormat="1" applyFont="1" applyFill="1" applyBorder="1" applyAlignment="1">
      <alignment horizontal="center" vertical="center"/>
    </xf>
    <xf numFmtId="49" fontId="3" fillId="7" borderId="26" xfId="2" applyNumberFormat="1" applyFont="1" applyFill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2" xfId="0" applyFont="1" applyBorder="1"/>
    <xf numFmtId="0" fontId="4" fillId="0" borderId="39" xfId="0" applyFont="1" applyBorder="1"/>
    <xf numFmtId="0" fontId="4" fillId="0" borderId="1" xfId="0" applyFont="1" applyBorder="1"/>
    <xf numFmtId="0" fontId="4" fillId="0" borderId="16" xfId="0" applyFont="1" applyBorder="1"/>
    <xf numFmtId="0" fontId="4" fillId="0" borderId="6" xfId="0" applyFont="1" applyBorder="1"/>
    <xf numFmtId="0" fontId="4" fillId="0" borderId="47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48" xfId="0" applyFont="1" applyBorder="1"/>
    <xf numFmtId="0" fontId="4" fillId="0" borderId="49" xfId="0" applyFont="1" applyBorder="1"/>
    <xf numFmtId="0" fontId="4" fillId="0" borderId="50" xfId="0" applyFont="1" applyBorder="1"/>
    <xf numFmtId="0" fontId="4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0" xfId="0" applyFont="1" applyBorder="1"/>
    <xf numFmtId="0" fontId="4" fillId="10" borderId="39" xfId="0" applyFont="1" applyFill="1" applyBorder="1"/>
    <xf numFmtId="0" fontId="4" fillId="10" borderId="50" xfId="0" applyFont="1" applyFill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4" fillId="10" borderId="49" xfId="0" applyFont="1" applyFill="1" applyBorder="1"/>
    <xf numFmtId="0" fontId="4" fillId="0" borderId="3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10" borderId="51" xfId="0" applyFont="1" applyFill="1" applyBorder="1"/>
    <xf numFmtId="0" fontId="4" fillId="10" borderId="40" xfId="0" applyFont="1" applyFill="1" applyBorder="1"/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10" borderId="52" xfId="0" applyFont="1" applyFill="1" applyBorder="1"/>
    <xf numFmtId="0" fontId="4" fillId="0" borderId="53" xfId="0" applyFont="1" applyBorder="1"/>
    <xf numFmtId="0" fontId="4" fillId="0" borderId="46" xfId="0" applyFont="1" applyBorder="1"/>
    <xf numFmtId="0" fontId="4" fillId="0" borderId="44" xfId="0" applyFont="1" applyBorder="1"/>
    <xf numFmtId="0" fontId="4" fillId="0" borderId="51" xfId="0" applyFont="1" applyBorder="1"/>
    <xf numFmtId="0" fontId="4" fillId="9" borderId="2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4" fillId="8" borderId="16" xfId="0" applyFont="1" applyFill="1" applyBorder="1"/>
    <xf numFmtId="0" fontId="4" fillId="8" borderId="6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12" borderId="0" xfId="0" applyFont="1" applyFill="1"/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textRotation="90"/>
    </xf>
    <xf numFmtId="0" fontId="4" fillId="0" borderId="21" xfId="0" applyFont="1" applyBorder="1"/>
    <xf numFmtId="0" fontId="4" fillId="0" borderId="43" xfId="0" applyFont="1" applyBorder="1"/>
    <xf numFmtId="0" fontId="4" fillId="0" borderId="35" xfId="0" applyFont="1" applyBorder="1"/>
    <xf numFmtId="0" fontId="4" fillId="8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/>
    </xf>
    <xf numFmtId="0" fontId="4" fillId="11" borderId="2" xfId="0" applyFont="1" applyFill="1" applyBorder="1"/>
    <xf numFmtId="0" fontId="4" fillId="11" borderId="7" xfId="0" applyFont="1" applyFill="1" applyBorder="1"/>
    <xf numFmtId="0" fontId="4" fillId="11" borderId="3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4" fillId="0" borderId="54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" fillId="0" borderId="54" xfId="0" applyFont="1" applyBorder="1"/>
    <xf numFmtId="0" fontId="4" fillId="0" borderId="38" xfId="0" applyFont="1" applyBorder="1"/>
    <xf numFmtId="0" fontId="4" fillId="0" borderId="37" xfId="0" applyFont="1" applyBorder="1"/>
    <xf numFmtId="1" fontId="4" fillId="0" borderId="54" xfId="0" applyNumberFormat="1" applyFont="1" applyBorder="1"/>
    <xf numFmtId="0" fontId="4" fillId="11" borderId="54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14" borderId="38" xfId="0" applyFont="1" applyFill="1" applyBorder="1" applyAlignment="1">
      <alignment horizontal="center"/>
    </xf>
    <xf numFmtId="49" fontId="3" fillId="0" borderId="44" xfId="2" applyNumberFormat="1" applyFont="1" applyBorder="1" applyAlignment="1">
      <alignment horizontal="center"/>
    </xf>
    <xf numFmtId="49" fontId="3" fillId="0" borderId="45" xfId="2" applyNumberFormat="1" applyFont="1" applyBorder="1" applyAlignment="1">
      <alignment horizontal="center"/>
    </xf>
    <xf numFmtId="0" fontId="3" fillId="0" borderId="44" xfId="2" applyFont="1" applyBorder="1" applyAlignment="1">
      <alignment horizontal="center"/>
    </xf>
    <xf numFmtId="0" fontId="3" fillId="0" borderId="42" xfId="2" applyFont="1" applyBorder="1" applyAlignment="1">
      <alignment horizontal="center" vertical="center"/>
    </xf>
    <xf numFmtId="0" fontId="3" fillId="5" borderId="42" xfId="2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7" borderId="42" xfId="2" applyFont="1" applyFill="1" applyBorder="1" applyAlignment="1">
      <alignment horizont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39" xfId="2" applyFont="1" applyBorder="1" applyAlignment="1">
      <alignment horizontal="center" vertical="center"/>
    </xf>
    <xf numFmtId="0" fontId="3" fillId="0" borderId="40" xfId="2" applyFont="1" applyBorder="1" applyAlignment="1">
      <alignment horizontal="center" vertical="center"/>
    </xf>
    <xf numFmtId="0" fontId="3" fillId="0" borderId="50" xfId="2" applyFont="1" applyBorder="1" applyAlignment="1">
      <alignment horizontal="center" vertical="center"/>
    </xf>
    <xf numFmtId="0" fontId="3" fillId="0" borderId="55" xfId="2" applyFont="1" applyBorder="1" applyAlignment="1">
      <alignment horizontal="center" vertical="center"/>
    </xf>
    <xf numFmtId="0" fontId="3" fillId="0" borderId="56" xfId="2" applyFont="1" applyBorder="1" applyAlignment="1">
      <alignment horizontal="center" vertical="center"/>
    </xf>
    <xf numFmtId="0" fontId="3" fillId="0" borderId="7" xfId="2" applyFont="1" applyBorder="1" applyAlignment="1">
      <alignment horizontal="center"/>
    </xf>
    <xf numFmtId="0" fontId="3" fillId="0" borderId="8" xfId="2" applyFont="1" applyBorder="1" applyAlignment="1">
      <alignment horizontal="center"/>
    </xf>
    <xf numFmtId="0" fontId="3" fillId="0" borderId="0" xfId="2" applyFont="1" applyAlignment="1">
      <alignment horizontal="center" vertical="center"/>
    </xf>
    <xf numFmtId="0" fontId="3" fillId="0" borderId="28" xfId="2" applyFont="1" applyBorder="1" applyAlignment="1">
      <alignment horizontal="center"/>
    </xf>
    <xf numFmtId="0" fontId="3" fillId="0" borderId="18" xfId="2" applyFont="1" applyBorder="1" applyAlignment="1">
      <alignment horizontal="center"/>
    </xf>
    <xf numFmtId="0" fontId="3" fillId="0" borderId="29" xfId="2" applyFont="1" applyBorder="1" applyAlignment="1">
      <alignment horizontal="center"/>
    </xf>
    <xf numFmtId="0" fontId="3" fillId="0" borderId="28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3" fillId="0" borderId="29" xfId="2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3" fillId="0" borderId="11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15" xfId="2" applyFont="1" applyBorder="1" applyAlignment="1">
      <alignment horizontal="center" vertical="center"/>
    </xf>
    <xf numFmtId="0" fontId="4" fillId="0" borderId="44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9" borderId="28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0" fontId="4" fillId="9" borderId="2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4" fillId="11" borderId="1" xfId="0" applyFont="1" applyFill="1" applyBorder="1" applyAlignment="1">
      <alignment horizontal="left" vertical="center"/>
    </xf>
    <xf numFmtId="0" fontId="4" fillId="11" borderId="16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11" borderId="4" xfId="0" applyFont="1" applyFill="1" applyBorder="1" applyAlignment="1">
      <alignment horizontal="left" vertical="center"/>
    </xf>
    <xf numFmtId="0" fontId="4" fillId="11" borderId="7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11" borderId="4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/>
    </xf>
    <xf numFmtId="49" fontId="4" fillId="0" borderId="54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/>
    </xf>
    <xf numFmtId="0" fontId="4" fillId="7" borderId="44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5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49" fontId="4" fillId="0" borderId="3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left"/>
    </xf>
    <xf numFmtId="0" fontId="4" fillId="9" borderId="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10" borderId="3" xfId="0" applyFont="1" applyFill="1" applyBorder="1"/>
    <xf numFmtId="0" fontId="4" fillId="10" borderId="4" xfId="0" applyFont="1" applyFill="1" applyBorder="1"/>
    <xf numFmtId="0" fontId="4" fillId="0" borderId="31" xfId="0" applyFont="1" applyBorder="1" applyAlignment="1">
      <alignment horizontal="center" vertical="center"/>
    </xf>
  </cellXfs>
  <cellStyles count="3">
    <cellStyle name="Обычный" xfId="0" builtinId="0"/>
    <cellStyle name="Обычный 2" xfId="2" xr:uid="{B870F873-A07E-49CD-9014-B1F2CB2ADF7F}"/>
    <cellStyle name="Обычный 3" xfId="1" xr:uid="{6AD58D6D-7E8F-4735-9BA1-16FBC6ACB9C9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FC0B7-4FC8-4777-ACF0-4FE84FF0764A}">
  <dimension ref="A1:Q11"/>
  <sheetViews>
    <sheetView workbookViewId="0">
      <selection activeCell="F14" sqref="F14"/>
    </sheetView>
  </sheetViews>
  <sheetFormatPr defaultRowHeight="18" x14ac:dyDescent="0.35"/>
  <cols>
    <col min="1" max="1" width="12.77734375" style="3" customWidth="1"/>
    <col min="2" max="2" width="9.5546875" style="3" customWidth="1"/>
    <col min="3" max="16384" width="8.88671875" style="3"/>
  </cols>
  <sheetData>
    <row r="1" spans="1:17" ht="18.600000000000001" thickBot="1" x14ac:dyDescent="0.4">
      <c r="A1" s="3" t="s">
        <v>57</v>
      </c>
    </row>
    <row r="2" spans="1:17" ht="72.599999999999994" thickBot="1" x14ac:dyDescent="0.4">
      <c r="A2" s="63" t="s">
        <v>53</v>
      </c>
      <c r="B2" s="64" t="s">
        <v>54</v>
      </c>
      <c r="C2" s="64" t="s">
        <v>55</v>
      </c>
      <c r="D2" s="64" t="s">
        <v>56</v>
      </c>
    </row>
    <row r="3" spans="1:17" ht="18.600000000000001" thickBot="1" x14ac:dyDescent="0.4">
      <c r="A3" s="65">
        <v>10</v>
      </c>
      <c r="B3" s="66">
        <v>5</v>
      </c>
      <c r="C3" s="66">
        <v>8</v>
      </c>
      <c r="D3" s="66">
        <v>6</v>
      </c>
    </row>
    <row r="5" spans="1:17" ht="18.600000000000001" thickBot="1" x14ac:dyDescent="0.4">
      <c r="A5" s="67" t="s">
        <v>58</v>
      </c>
      <c r="F5" s="3">
        <v>1</v>
      </c>
      <c r="G5" s="3">
        <v>2</v>
      </c>
      <c r="H5" s="3">
        <v>3</v>
      </c>
      <c r="I5" s="3">
        <v>4</v>
      </c>
    </row>
    <row r="6" spans="1:17" ht="18.600000000000001" thickBot="1" x14ac:dyDescent="0.4">
      <c r="A6" s="68" t="s">
        <v>53</v>
      </c>
      <c r="B6" s="65">
        <v>10</v>
      </c>
      <c r="F6" s="214" t="s">
        <v>63</v>
      </c>
      <c r="G6" s="214"/>
      <c r="H6" s="214"/>
      <c r="I6" s="214"/>
      <c r="K6" s="214" t="s">
        <v>71</v>
      </c>
      <c r="L6" s="214"/>
      <c r="M6" s="214"/>
      <c r="N6" s="214"/>
      <c r="O6" s="214"/>
      <c r="P6" s="214"/>
      <c r="Q6" s="214"/>
    </row>
    <row r="7" spans="1:17" ht="18.600000000000001" thickBot="1" x14ac:dyDescent="0.4">
      <c r="B7" s="3" t="s">
        <v>68</v>
      </c>
      <c r="C7" s="3" t="s">
        <v>69</v>
      </c>
      <c r="D7" s="3" t="s">
        <v>70</v>
      </c>
      <c r="F7" s="69" t="s">
        <v>64</v>
      </c>
      <c r="G7" s="69" t="s">
        <v>65</v>
      </c>
      <c r="H7" s="69" t="s">
        <v>66</v>
      </c>
      <c r="I7" s="69" t="s">
        <v>67</v>
      </c>
      <c r="K7" s="3" t="s">
        <v>72</v>
      </c>
      <c r="L7" s="3" t="s">
        <v>73</v>
      </c>
      <c r="M7" s="3" t="s">
        <v>74</v>
      </c>
      <c r="N7" s="3" t="s">
        <v>75</v>
      </c>
      <c r="O7" s="3" t="s">
        <v>76</v>
      </c>
      <c r="P7" s="3" t="s">
        <v>77</v>
      </c>
      <c r="Q7" s="3" t="s">
        <v>78</v>
      </c>
    </row>
    <row r="8" spans="1:17" ht="18.600000000000001" thickBot="1" x14ac:dyDescent="0.4">
      <c r="A8" s="64" t="s">
        <v>59</v>
      </c>
      <c r="B8" s="66">
        <v>5</v>
      </c>
      <c r="C8" s="58" t="str">
        <f>DEC2BIN(B8,4)</f>
        <v>0101</v>
      </c>
      <c r="D8" s="58"/>
      <c r="E8" s="58"/>
      <c r="F8" s="58" t="str">
        <f>MID($C8,F$5,1)</f>
        <v>0</v>
      </c>
      <c r="G8" s="58" t="str">
        <f t="shared" ref="G8:I11" si="0">MID($C8,G$5,1)</f>
        <v>1</v>
      </c>
      <c r="H8" s="58" t="str">
        <f t="shared" si="0"/>
        <v>0</v>
      </c>
      <c r="I8" s="58" t="str">
        <f t="shared" si="0"/>
        <v>1</v>
      </c>
    </row>
    <row r="9" spans="1:17" ht="18.600000000000001" thickBot="1" x14ac:dyDescent="0.4">
      <c r="A9" s="64" t="s">
        <v>60</v>
      </c>
      <c r="B9" s="66">
        <v>8</v>
      </c>
      <c r="C9" s="58" t="str">
        <f t="shared" ref="C9:C11" si="1">DEC2BIN(B9,4)</f>
        <v>1000</v>
      </c>
      <c r="D9" s="58"/>
      <c r="E9" s="58"/>
      <c r="F9" s="58" t="str">
        <f t="shared" ref="F9:F11" si="2">MID($C9,F$5,1)</f>
        <v>1</v>
      </c>
      <c r="G9" s="58" t="str">
        <f t="shared" si="0"/>
        <v>0</v>
      </c>
      <c r="H9" s="58" t="str">
        <f t="shared" si="0"/>
        <v>0</v>
      </c>
      <c r="I9" s="58" t="str">
        <f t="shared" si="0"/>
        <v>0</v>
      </c>
    </row>
    <row r="10" spans="1:17" ht="18.600000000000001" thickBot="1" x14ac:dyDescent="0.4">
      <c r="A10" s="64" t="s">
        <v>61</v>
      </c>
      <c r="B10" s="66">
        <v>6</v>
      </c>
      <c r="C10" s="58" t="str">
        <f t="shared" si="1"/>
        <v>0110</v>
      </c>
      <c r="D10" s="58"/>
      <c r="E10" s="58"/>
      <c r="F10" s="58" t="str">
        <f t="shared" si="2"/>
        <v>0</v>
      </c>
      <c r="G10" s="58" t="str">
        <f t="shared" si="0"/>
        <v>1</v>
      </c>
      <c r="H10" s="58" t="str">
        <f t="shared" si="0"/>
        <v>1</v>
      </c>
      <c r="I10" s="58" t="str">
        <f t="shared" si="0"/>
        <v>0</v>
      </c>
    </row>
    <row r="11" spans="1:17" ht="18.600000000000001" thickBot="1" x14ac:dyDescent="0.4">
      <c r="A11" s="64" t="s">
        <v>62</v>
      </c>
      <c r="B11" s="70">
        <v>3</v>
      </c>
      <c r="C11" s="58" t="str">
        <f t="shared" si="1"/>
        <v>0011</v>
      </c>
      <c r="D11" s="58"/>
      <c r="E11" s="58"/>
      <c r="F11" s="58" t="str">
        <f t="shared" si="2"/>
        <v>0</v>
      </c>
      <c r="G11" s="58" t="str">
        <f t="shared" si="0"/>
        <v>0</v>
      </c>
      <c r="H11" s="58" t="str">
        <f t="shared" si="0"/>
        <v>1</v>
      </c>
      <c r="I11" s="58" t="str">
        <f t="shared" si="0"/>
        <v>1</v>
      </c>
    </row>
  </sheetData>
  <mergeCells count="2">
    <mergeCell ref="F6:I6"/>
    <mergeCell ref="K6:Q6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opLeftCell="A12" workbookViewId="0">
      <selection activeCell="F29" sqref="F29"/>
    </sheetView>
  </sheetViews>
  <sheetFormatPr defaultRowHeight="18" x14ac:dyDescent="0.35"/>
  <cols>
    <col min="1" max="1" width="28.21875" style="3" customWidth="1"/>
    <col min="2" max="2" width="27.88671875" style="3" customWidth="1"/>
    <col min="3" max="3" width="8.88671875" style="3"/>
    <col min="4" max="4" width="11.21875" style="3" customWidth="1"/>
    <col min="5" max="5" width="10.77734375" style="3" customWidth="1"/>
    <col min="6" max="6" width="10.33203125" style="3" customWidth="1"/>
    <col min="7" max="8" width="8.88671875" style="3"/>
    <col min="9" max="9" width="7.21875" style="3" customWidth="1"/>
    <col min="10" max="10" width="11.88671875" style="3" customWidth="1"/>
    <col min="11" max="16384" width="8.88671875" style="3"/>
  </cols>
  <sheetData>
    <row r="1" spans="1:21" x14ac:dyDescent="0.35">
      <c r="A1" s="215" t="s">
        <v>79</v>
      </c>
      <c r="B1" s="74" t="s">
        <v>59</v>
      </c>
      <c r="C1" s="5">
        <v>7</v>
      </c>
      <c r="D1" s="74" t="s">
        <v>69</v>
      </c>
      <c r="E1" s="5" t="str">
        <f>DEC2BIN(C1,4)</f>
        <v>0111</v>
      </c>
      <c r="F1" s="72"/>
      <c r="G1" s="1"/>
      <c r="H1" s="1"/>
      <c r="I1" s="1"/>
      <c r="J1" s="1">
        <v>4</v>
      </c>
      <c r="K1" s="2" t="s">
        <v>0</v>
      </c>
      <c r="L1" s="2" t="s">
        <v>1</v>
      </c>
      <c r="M1" s="2" t="s">
        <v>2</v>
      </c>
      <c r="N1" s="2" t="s">
        <v>3</v>
      </c>
      <c r="O1" s="1"/>
      <c r="P1" s="1"/>
      <c r="Q1" s="1"/>
      <c r="R1" s="1"/>
      <c r="S1" s="1"/>
      <c r="T1" s="1"/>
      <c r="U1" s="1"/>
    </row>
    <row r="2" spans="1:21" ht="18.600000000000001" thickBot="1" x14ac:dyDescent="0.4">
      <c r="A2" s="216"/>
      <c r="B2" s="75" t="s">
        <v>60</v>
      </c>
      <c r="C2" s="76">
        <v>5</v>
      </c>
      <c r="D2" s="75" t="s">
        <v>69</v>
      </c>
      <c r="E2" s="76" t="str">
        <f>DEC2BIN(C2,4)</f>
        <v>0101</v>
      </c>
      <c r="F2" s="73"/>
      <c r="G2" s="1"/>
      <c r="H2" s="1"/>
      <c r="I2" s="1"/>
      <c r="J2" s="1"/>
      <c r="K2" s="4">
        <v>1</v>
      </c>
      <c r="L2" s="4">
        <v>2</v>
      </c>
      <c r="M2" s="4">
        <v>3</v>
      </c>
      <c r="N2" s="4">
        <v>4</v>
      </c>
      <c r="O2" s="4">
        <v>5</v>
      </c>
      <c r="P2" s="4">
        <v>6</v>
      </c>
      <c r="Q2" s="4">
        <v>7</v>
      </c>
      <c r="R2" s="4">
        <v>1</v>
      </c>
      <c r="S2" s="4">
        <v>2</v>
      </c>
      <c r="T2" s="4">
        <v>3</v>
      </c>
      <c r="U2" s="4">
        <v>4</v>
      </c>
    </row>
    <row r="3" spans="1:21" ht="18.600000000000001" thickBot="1" x14ac:dyDescent="0.4">
      <c r="A3" s="41"/>
      <c r="B3" s="42" t="s">
        <v>4</v>
      </c>
      <c r="C3" s="87"/>
      <c r="D3" s="87" t="s">
        <v>5</v>
      </c>
      <c r="E3" s="88" t="s">
        <v>6</v>
      </c>
      <c r="F3" s="88" t="s">
        <v>7</v>
      </c>
      <c r="G3" s="2"/>
      <c r="H3" s="1"/>
      <c r="I3" s="2"/>
      <c r="J3" s="2" t="s">
        <v>8</v>
      </c>
      <c r="K3" s="223" t="s">
        <v>9</v>
      </c>
      <c r="L3" s="224"/>
      <c r="M3" s="224"/>
      <c r="N3" s="224"/>
      <c r="O3" s="224"/>
      <c r="P3" s="224"/>
      <c r="Q3" s="225"/>
      <c r="R3" s="223" t="s">
        <v>10</v>
      </c>
      <c r="S3" s="224"/>
      <c r="T3" s="224"/>
      <c r="U3" s="225"/>
    </row>
    <row r="4" spans="1:21" ht="36.6" thickBot="1" x14ac:dyDescent="0.4">
      <c r="A4" s="46" t="s">
        <v>11</v>
      </c>
      <c r="B4" s="47" t="s">
        <v>40</v>
      </c>
      <c r="C4" s="48" t="s">
        <v>12</v>
      </c>
      <c r="D4" s="86" t="s">
        <v>13</v>
      </c>
      <c r="E4" s="50" t="str">
        <f t="shared" ref="E4:E9" si="0">BIN2HEX(D4)</f>
        <v>B</v>
      </c>
      <c r="F4" s="51">
        <f t="shared" ref="F4:F9" si="1">BIN2DEC(D4)</f>
        <v>11</v>
      </c>
      <c r="G4" s="2"/>
      <c r="H4" s="1"/>
      <c r="I4" s="2"/>
      <c r="J4" s="2">
        <v>7</v>
      </c>
      <c r="K4" s="7" t="s">
        <v>14</v>
      </c>
      <c r="L4" s="7" t="s">
        <v>15</v>
      </c>
      <c r="M4" s="7" t="s">
        <v>16</v>
      </c>
      <c r="N4" s="7" t="s">
        <v>0</v>
      </c>
      <c r="O4" s="7" t="s">
        <v>1</v>
      </c>
      <c r="P4" s="7" t="s">
        <v>2</v>
      </c>
      <c r="Q4" s="7" t="s">
        <v>3</v>
      </c>
      <c r="R4" s="8" t="s">
        <v>0</v>
      </c>
      <c r="S4" s="2" t="s">
        <v>1</v>
      </c>
      <c r="T4" s="2" t="s">
        <v>2</v>
      </c>
      <c r="U4" s="9" t="s">
        <v>3</v>
      </c>
    </row>
    <row r="5" spans="1:21" ht="21" thickBot="1" x14ac:dyDescent="0.5">
      <c r="A5" s="52" t="s">
        <v>41</v>
      </c>
      <c r="B5" s="53" t="s">
        <v>50</v>
      </c>
      <c r="C5" s="54" t="s">
        <v>17</v>
      </c>
      <c r="D5" s="77" t="s">
        <v>106</v>
      </c>
      <c r="E5" s="55" t="str">
        <f t="shared" si="0"/>
        <v>C</v>
      </c>
      <c r="F5" s="56">
        <f t="shared" si="1"/>
        <v>12</v>
      </c>
      <c r="G5" s="2"/>
      <c r="H5" s="1"/>
      <c r="I5" s="2"/>
      <c r="J5" s="222" t="s">
        <v>19</v>
      </c>
      <c r="K5" s="83" t="str">
        <f>MID($D$5,K$2,1)</f>
        <v>1</v>
      </c>
      <c r="L5" s="83" t="str">
        <f>MID($D$5,L$2,1)</f>
        <v>1</v>
      </c>
      <c r="M5" s="83" t="str">
        <f>MID($D$5,M$2,1)</f>
        <v>0</v>
      </c>
      <c r="N5" s="83" t="str">
        <f>MID($D$5,N$2,1)</f>
        <v>0</v>
      </c>
      <c r="O5" s="84" t="str">
        <f>MID($B$11,K$2,1)</f>
        <v>0</v>
      </c>
      <c r="P5" s="84" t="str">
        <f t="shared" ref="P5:Q5" si="2">MID($B$11,L$2,1)</f>
        <v>1</v>
      </c>
      <c r="Q5" s="84" t="str">
        <f t="shared" si="2"/>
        <v>0</v>
      </c>
      <c r="R5" s="41" t="str">
        <f>MID($D$4,K$2,1)</f>
        <v>1</v>
      </c>
      <c r="S5" s="41" t="str">
        <f t="shared" ref="S5:U5" si="3">MID($D$4,L$2,1)</f>
        <v>0</v>
      </c>
      <c r="T5" s="41" t="str">
        <f t="shared" si="3"/>
        <v>1</v>
      </c>
      <c r="U5" s="85" t="str">
        <f t="shared" si="3"/>
        <v>1</v>
      </c>
    </row>
    <row r="6" spans="1:21" ht="39" thickBot="1" x14ac:dyDescent="0.5">
      <c r="A6" s="46" t="s">
        <v>42</v>
      </c>
      <c r="B6" s="47" t="s">
        <v>43</v>
      </c>
      <c r="C6" s="48" t="s">
        <v>12</v>
      </c>
      <c r="D6" s="49" t="str">
        <f>D4&amp;"000"</f>
        <v>1011000</v>
      </c>
      <c r="E6" s="50" t="str">
        <f t="shared" si="0"/>
        <v>58</v>
      </c>
      <c r="F6" s="51">
        <f t="shared" si="1"/>
        <v>88</v>
      </c>
      <c r="G6" s="2"/>
      <c r="H6" s="2"/>
      <c r="I6" s="2"/>
      <c r="J6" s="222"/>
      <c r="K6" s="2" t="str">
        <f>IF($K$5="0",0,R$5)</f>
        <v>1</v>
      </c>
      <c r="L6" s="2" t="str">
        <f t="shared" ref="L6:N6" si="4">IF($K$5="0",0,S$5)</f>
        <v>0</v>
      </c>
      <c r="M6" s="2" t="str">
        <f t="shared" si="4"/>
        <v>1</v>
      </c>
      <c r="N6" s="2" t="str">
        <f t="shared" si="4"/>
        <v>1</v>
      </c>
      <c r="O6" s="2"/>
      <c r="P6" s="2"/>
      <c r="Q6" s="2"/>
      <c r="R6" s="32">
        <f>IF(K6=0,0,1)</f>
        <v>1</v>
      </c>
      <c r="S6" s="32">
        <f>IF(K10=0,0,1)</f>
        <v>1</v>
      </c>
      <c r="T6" s="32">
        <f>IF(K14=0,0,1)</f>
        <v>1</v>
      </c>
      <c r="U6" s="82">
        <f>IF(K18=0,0,1)</f>
        <v>0</v>
      </c>
    </row>
    <row r="7" spans="1:21" ht="36.6" thickBot="1" x14ac:dyDescent="0.4">
      <c r="A7" s="35" t="s">
        <v>21</v>
      </c>
      <c r="B7" s="37"/>
      <c r="C7" s="10"/>
      <c r="D7" s="10" t="str">
        <f>_xlfn.CONCAT(R6:U6)</f>
        <v>1110</v>
      </c>
      <c r="E7" s="40" t="str">
        <f t="shared" si="0"/>
        <v>E</v>
      </c>
      <c r="F7" s="6">
        <f t="shared" si="1"/>
        <v>14</v>
      </c>
      <c r="G7" s="2"/>
      <c r="H7" s="2"/>
      <c r="I7" s="2"/>
      <c r="J7" s="2"/>
      <c r="K7" s="12">
        <f>MOD(K5+K6,2)</f>
        <v>0</v>
      </c>
      <c r="L7" s="12">
        <f t="shared" ref="L7:N7" si="5">MOD(L5+L6,2)</f>
        <v>1</v>
      </c>
      <c r="M7" s="12">
        <f t="shared" si="5"/>
        <v>1</v>
      </c>
      <c r="N7" s="12">
        <f t="shared" si="5"/>
        <v>1</v>
      </c>
      <c r="O7" s="13"/>
      <c r="P7" s="13"/>
      <c r="Q7" s="13"/>
      <c r="R7" s="226" t="s">
        <v>20</v>
      </c>
      <c r="S7" s="227"/>
      <c r="T7" s="227"/>
      <c r="U7" s="228"/>
    </row>
    <row r="8" spans="1:21" ht="21" thickBot="1" x14ac:dyDescent="0.4">
      <c r="A8" s="35" t="s">
        <v>26</v>
      </c>
      <c r="B8" s="37" t="s">
        <v>44</v>
      </c>
      <c r="C8" s="11" t="s">
        <v>12</v>
      </c>
      <c r="D8" s="2" t="str">
        <f>L21</f>
        <v>000</v>
      </c>
      <c r="E8" s="40" t="str">
        <f t="shared" si="0"/>
        <v>0</v>
      </c>
      <c r="F8" s="6">
        <f t="shared" si="1"/>
        <v>0</v>
      </c>
      <c r="G8" s="2"/>
      <c r="H8" s="2"/>
      <c r="I8" s="2"/>
      <c r="J8" s="2">
        <v>6</v>
      </c>
      <c r="K8" s="2" t="s">
        <v>22</v>
      </c>
      <c r="L8" s="2" t="s">
        <v>23</v>
      </c>
      <c r="M8" s="2" t="s">
        <v>24</v>
      </c>
      <c r="N8" s="2" t="s">
        <v>25</v>
      </c>
      <c r="O8" s="13"/>
      <c r="P8" s="13"/>
      <c r="Q8" s="13"/>
      <c r="R8" s="226" t="str">
        <f>_xlfn.CONCAT(R6:U6)</f>
        <v>1110</v>
      </c>
      <c r="S8" s="227"/>
      <c r="T8" s="227"/>
      <c r="U8" s="228"/>
    </row>
    <row r="9" spans="1:21" ht="36" x14ac:dyDescent="0.35">
      <c r="A9" s="71" t="s">
        <v>27</v>
      </c>
      <c r="B9" s="38" t="s">
        <v>45</v>
      </c>
      <c r="C9" s="14" t="s">
        <v>12</v>
      </c>
      <c r="D9" s="45" t="str">
        <f>_xlfn.CONCAT(D5,D8)</f>
        <v>1100000</v>
      </c>
      <c r="E9" s="40" t="str">
        <f t="shared" si="0"/>
        <v>60</v>
      </c>
      <c r="F9" s="6">
        <f t="shared" si="1"/>
        <v>96</v>
      </c>
      <c r="G9" s="2"/>
      <c r="H9" s="2"/>
      <c r="I9" s="2"/>
      <c r="J9" s="222" t="s">
        <v>19</v>
      </c>
      <c r="K9" s="2">
        <f>L7</f>
        <v>1</v>
      </c>
      <c r="L9" s="2">
        <f t="shared" ref="L9:M9" si="6">M7</f>
        <v>1</v>
      </c>
      <c r="M9" s="2">
        <f t="shared" si="6"/>
        <v>1</v>
      </c>
      <c r="N9" s="2" t="str">
        <f>O5</f>
        <v>0</v>
      </c>
      <c r="O9" s="13"/>
      <c r="P9" s="13"/>
      <c r="Q9" s="13"/>
      <c r="R9" s="1"/>
      <c r="S9" s="1"/>
      <c r="T9" s="2"/>
      <c r="U9" s="1"/>
    </row>
    <row r="10" spans="1:21" ht="18.600000000000001" thickBot="1" x14ac:dyDescent="0.4">
      <c r="A10" s="36" t="s">
        <v>29</v>
      </c>
      <c r="B10" s="39"/>
      <c r="C10" s="220">
        <f>LEN(D9)</f>
        <v>7</v>
      </c>
      <c r="D10" s="220"/>
      <c r="E10" s="221"/>
      <c r="F10" s="15"/>
      <c r="G10" s="15"/>
      <c r="H10" s="2"/>
      <c r="I10" s="2"/>
      <c r="J10" s="222"/>
      <c r="K10" s="2" t="str">
        <f>IF($K$9=0,0,R$5)</f>
        <v>1</v>
      </c>
      <c r="L10" s="2" t="str">
        <f t="shared" ref="L10:N10" si="7">IF($K$9=0,0,S$5)</f>
        <v>0</v>
      </c>
      <c r="M10" s="2" t="str">
        <f t="shared" si="7"/>
        <v>1</v>
      </c>
      <c r="N10" s="2" t="str">
        <f t="shared" si="7"/>
        <v>1</v>
      </c>
      <c r="O10" s="13"/>
      <c r="P10" s="13"/>
      <c r="Q10" s="13"/>
      <c r="R10" s="1"/>
      <c r="S10" s="1"/>
      <c r="T10" s="1"/>
      <c r="U10" s="1"/>
    </row>
    <row r="11" spans="1:21" ht="18.600000000000001" thickBot="1" x14ac:dyDescent="0.4">
      <c r="A11" s="43" t="s">
        <v>46</v>
      </c>
      <c r="B11" s="44" t="s">
        <v>82</v>
      </c>
      <c r="F11" s="4"/>
      <c r="G11" s="4"/>
      <c r="H11" s="1"/>
      <c r="I11" s="2"/>
      <c r="J11" s="2"/>
      <c r="K11" s="12">
        <f>MOD(K9+K10,2)</f>
        <v>0</v>
      </c>
      <c r="L11" s="12">
        <f t="shared" ref="L11:N11" si="8">MOD(L9+L10,2)</f>
        <v>1</v>
      </c>
      <c r="M11" s="12">
        <f t="shared" si="8"/>
        <v>0</v>
      </c>
      <c r="N11" s="12">
        <f t="shared" si="8"/>
        <v>1</v>
      </c>
      <c r="O11" s="13"/>
      <c r="P11" s="13"/>
      <c r="Q11" s="13"/>
      <c r="R11" s="1"/>
      <c r="S11" s="1"/>
      <c r="T11" s="1"/>
      <c r="U11" s="1"/>
    </row>
    <row r="12" spans="1:21" x14ac:dyDescent="0.35">
      <c r="A12" s="1"/>
      <c r="B12" s="1"/>
      <c r="C12" s="1"/>
      <c r="D12" s="1"/>
      <c r="E12" s="1"/>
      <c r="F12" s="1"/>
      <c r="G12" s="1"/>
      <c r="H12" s="1"/>
      <c r="I12" s="1"/>
      <c r="J12" s="2">
        <v>5</v>
      </c>
      <c r="K12" s="2" t="s">
        <v>23</v>
      </c>
      <c r="L12" s="2" t="s">
        <v>24</v>
      </c>
      <c r="M12" s="2" t="s">
        <v>25</v>
      </c>
      <c r="N12" s="2" t="s">
        <v>30</v>
      </c>
      <c r="O12" s="13"/>
      <c r="P12" s="13"/>
      <c r="Q12" s="13"/>
      <c r="R12" s="1"/>
      <c r="S12" s="1"/>
      <c r="T12" s="1"/>
      <c r="U12" s="1"/>
    </row>
    <row r="13" spans="1:21" x14ac:dyDescent="0.35">
      <c r="A13" s="1"/>
      <c r="C13" s="1"/>
      <c r="D13" s="1"/>
      <c r="E13" s="1"/>
      <c r="F13" s="1"/>
      <c r="G13" s="1"/>
      <c r="H13" s="2"/>
      <c r="I13" s="1"/>
      <c r="J13" s="222" t="s">
        <v>19</v>
      </c>
      <c r="K13" s="2">
        <f>L11</f>
        <v>1</v>
      </c>
      <c r="L13" s="2">
        <f t="shared" ref="L13:M13" si="9">M11</f>
        <v>0</v>
      </c>
      <c r="M13" s="2">
        <f t="shared" si="9"/>
        <v>1</v>
      </c>
      <c r="N13" s="2" t="str">
        <f>P5</f>
        <v>1</v>
      </c>
      <c r="O13" s="13"/>
      <c r="P13" s="13"/>
      <c r="Q13" s="13"/>
      <c r="R13" s="1"/>
      <c r="S13" s="1"/>
      <c r="T13" s="1"/>
      <c r="U13" s="1"/>
    </row>
    <row r="14" spans="1:21" ht="18.600000000000001" thickBot="1" x14ac:dyDescent="0.4">
      <c r="A14" s="1"/>
      <c r="C14" s="1"/>
      <c r="D14" s="1"/>
      <c r="E14" s="1"/>
      <c r="F14" s="1"/>
      <c r="G14" s="1"/>
      <c r="H14" s="2"/>
      <c r="I14" s="2"/>
      <c r="J14" s="222"/>
      <c r="K14" s="2" t="str">
        <f>IF($K$13=0,0,R$5)</f>
        <v>1</v>
      </c>
      <c r="L14" s="2" t="str">
        <f t="shared" ref="L14:N14" si="10">IF($K$13=0,0,S$5)</f>
        <v>0</v>
      </c>
      <c r="M14" s="2" t="str">
        <f t="shared" si="10"/>
        <v>1</v>
      </c>
      <c r="N14" s="2" t="str">
        <f t="shared" si="10"/>
        <v>1</v>
      </c>
      <c r="O14" s="13"/>
      <c r="P14" s="13"/>
      <c r="Q14" s="13"/>
      <c r="R14" s="1"/>
      <c r="S14" s="1"/>
      <c r="T14" s="1"/>
      <c r="U14" s="1"/>
    </row>
    <row r="15" spans="1:21" ht="18.600000000000001" thickBot="1" x14ac:dyDescent="0.4">
      <c r="A15" s="1"/>
      <c r="C15" s="1"/>
      <c r="D15" s="1"/>
      <c r="E15" s="1"/>
      <c r="F15" s="1"/>
      <c r="G15" s="1"/>
      <c r="H15" s="2"/>
      <c r="I15" s="2"/>
      <c r="J15" s="2"/>
      <c r="K15" s="12">
        <f>MOD(K13+K14,2)</f>
        <v>0</v>
      </c>
      <c r="L15" s="12">
        <f t="shared" ref="L15:N15" si="11">MOD(L13+L14,2)</f>
        <v>0</v>
      </c>
      <c r="M15" s="12">
        <f t="shared" si="11"/>
        <v>0</v>
      </c>
      <c r="N15" s="12">
        <f t="shared" si="11"/>
        <v>0</v>
      </c>
      <c r="O15" s="13"/>
      <c r="P15" s="13"/>
      <c r="Q15" s="13"/>
      <c r="R15" s="1"/>
      <c r="S15" s="1"/>
      <c r="T15" s="1"/>
      <c r="U15" s="1"/>
    </row>
    <row r="16" spans="1:21" ht="18.600000000000001" thickBot="1" x14ac:dyDescent="0.4">
      <c r="A16" s="1"/>
      <c r="C16" s="1"/>
      <c r="D16" s="1"/>
      <c r="E16" s="1"/>
      <c r="F16" s="1"/>
      <c r="G16" s="1"/>
      <c r="H16" s="2"/>
      <c r="I16" s="2"/>
      <c r="J16" s="2">
        <v>4</v>
      </c>
      <c r="K16" s="2" t="s">
        <v>24</v>
      </c>
      <c r="L16" s="2" t="s">
        <v>25</v>
      </c>
      <c r="M16" s="2" t="s">
        <v>30</v>
      </c>
      <c r="N16" s="2" t="s">
        <v>31</v>
      </c>
      <c r="O16" s="13"/>
      <c r="P16" s="13"/>
      <c r="Q16" s="13"/>
      <c r="R16" s="1"/>
      <c r="S16" s="1"/>
      <c r="T16" s="1"/>
      <c r="U16" s="1"/>
    </row>
    <row r="17" spans="1:26" x14ac:dyDescent="0.35">
      <c r="A17" s="2"/>
      <c r="B17" s="17"/>
      <c r="C17" s="217" t="s">
        <v>32</v>
      </c>
      <c r="D17" s="218"/>
      <c r="E17" s="218"/>
      <c r="F17" s="218"/>
      <c r="G17" s="218"/>
      <c r="H17" s="219"/>
      <c r="I17" s="2"/>
      <c r="J17" s="222" t="s">
        <v>19</v>
      </c>
      <c r="K17" s="2">
        <f>L15</f>
        <v>0</v>
      </c>
      <c r="L17" s="2">
        <f t="shared" ref="L17:M17" si="12">M15</f>
        <v>0</v>
      </c>
      <c r="M17" s="2">
        <f t="shared" si="12"/>
        <v>0</v>
      </c>
      <c r="N17" s="2" t="str">
        <f>Q5</f>
        <v>0</v>
      </c>
      <c r="O17" s="13"/>
      <c r="P17" s="13"/>
      <c r="Q17" s="13"/>
      <c r="R17" s="2"/>
      <c r="S17" s="2"/>
      <c r="T17" s="2"/>
      <c r="U17" s="1"/>
    </row>
    <row r="18" spans="1:26" ht="18.600000000000001" thickBot="1" x14ac:dyDescent="0.4">
      <c r="A18" s="1" t="s">
        <v>47</v>
      </c>
      <c r="B18" s="18"/>
      <c r="C18" s="78" t="s">
        <v>80</v>
      </c>
      <c r="D18" s="19" t="s">
        <v>33</v>
      </c>
      <c r="E18" s="19" t="s">
        <v>34</v>
      </c>
      <c r="F18" s="19" t="s">
        <v>35</v>
      </c>
      <c r="G18" s="202" t="s">
        <v>36</v>
      </c>
      <c r="H18" s="203" t="s">
        <v>183</v>
      </c>
      <c r="I18" s="2"/>
      <c r="J18" s="222"/>
      <c r="K18" s="2">
        <f>IF($K$17=0,0,R$5)</f>
        <v>0</v>
      </c>
      <c r="L18" s="2">
        <f t="shared" ref="L18:N18" si="13">IF($K$17=0,0,S$5)</f>
        <v>0</v>
      </c>
      <c r="M18" s="2">
        <f t="shared" si="13"/>
        <v>0</v>
      </c>
      <c r="N18" s="2">
        <f t="shared" si="13"/>
        <v>0</v>
      </c>
      <c r="O18" s="13"/>
      <c r="P18" s="13"/>
      <c r="Q18" s="13"/>
      <c r="R18" s="1"/>
      <c r="S18" s="1"/>
      <c r="T18" s="1"/>
      <c r="U18" s="1"/>
    </row>
    <row r="19" spans="1:26" ht="18.600000000000001" thickBot="1" x14ac:dyDescent="0.4">
      <c r="A19" s="1" t="s">
        <v>48</v>
      </c>
      <c r="B19" s="21"/>
      <c r="C19" s="79">
        <v>0</v>
      </c>
      <c r="D19" s="23" t="s">
        <v>28</v>
      </c>
      <c r="E19" s="22" t="str">
        <f>MID(D19,1,4)</f>
        <v>0010</v>
      </c>
      <c r="F19" s="22">
        <f>BIN2DEC(E19)</f>
        <v>2</v>
      </c>
      <c r="G19" s="97">
        <f>LEN(D19)-LEN(SUBSTITUTE(D19,"1",""))</f>
        <v>3</v>
      </c>
      <c r="H19" s="211" t="str">
        <f>BIN2HEX(D19)</f>
        <v>16</v>
      </c>
      <c r="I19" s="2"/>
      <c r="J19" s="2"/>
      <c r="K19" s="24">
        <f>MOD(K17+K18,2)</f>
        <v>0</v>
      </c>
      <c r="L19" s="24">
        <f t="shared" ref="L19:N19" si="14">MOD(L17+L18,2)</f>
        <v>0</v>
      </c>
      <c r="M19" s="24">
        <f t="shared" si="14"/>
        <v>0</v>
      </c>
      <c r="N19" s="24">
        <f t="shared" si="14"/>
        <v>0</v>
      </c>
      <c r="O19" s="13"/>
      <c r="P19" s="13"/>
      <c r="Q19" s="13"/>
      <c r="R19" s="25"/>
      <c r="S19" s="26"/>
      <c r="T19" s="26"/>
      <c r="U19" s="20"/>
    </row>
    <row r="20" spans="1:26" ht="18.600000000000001" thickBot="1" x14ac:dyDescent="0.4">
      <c r="A20" s="1" t="s">
        <v>49</v>
      </c>
      <c r="B20" s="21"/>
      <c r="C20" s="79">
        <v>1</v>
      </c>
      <c r="D20" s="23" t="s">
        <v>83</v>
      </c>
      <c r="E20" s="22" t="str">
        <f t="shared" ref="E20:E23" si="15">MID(D20,1,4)</f>
        <v>0111</v>
      </c>
      <c r="F20" s="22">
        <f t="shared" ref="F20:F23" si="16">BIN2DEC(E20)</f>
        <v>7</v>
      </c>
      <c r="G20" s="97">
        <f t="shared" ref="G20:G23" si="17">LEN(D20)-LEN(SUBSTITUTE(D20,"1",""))</f>
        <v>4</v>
      </c>
      <c r="H20" s="211" t="str">
        <f t="shared" ref="H20:H34" si="18">BIN2HEX(D20)</f>
        <v>3A</v>
      </c>
      <c r="I20" s="27"/>
      <c r="J20" s="231" t="s">
        <v>38</v>
      </c>
      <c r="K20" s="232"/>
      <c r="L20" s="28">
        <f>L19</f>
        <v>0</v>
      </c>
      <c r="M20" s="28">
        <f t="shared" ref="M20:N20" si="19">M19</f>
        <v>0</v>
      </c>
      <c r="N20" s="28">
        <f t="shared" si="19"/>
        <v>0</v>
      </c>
      <c r="O20" s="13"/>
      <c r="P20" s="13"/>
      <c r="Q20" s="13"/>
      <c r="R20" s="29"/>
      <c r="S20" s="30"/>
      <c r="T20" s="31"/>
      <c r="U20" s="20"/>
    </row>
    <row r="21" spans="1:26" ht="18.600000000000001" thickBot="1" x14ac:dyDescent="0.4">
      <c r="A21" s="20"/>
      <c r="B21" s="21"/>
      <c r="C21" s="80">
        <v>2</v>
      </c>
      <c r="D21" s="92" t="s">
        <v>89</v>
      </c>
      <c r="E21" s="19" t="str">
        <f t="shared" si="15"/>
        <v>1011</v>
      </c>
      <c r="F21" s="19">
        <f t="shared" si="16"/>
        <v>11</v>
      </c>
      <c r="G21" s="200">
        <f t="shared" si="17"/>
        <v>3</v>
      </c>
      <c r="H21" s="204" t="str">
        <f t="shared" si="18"/>
        <v>58</v>
      </c>
      <c r="I21" s="27"/>
      <c r="J21" s="233"/>
      <c r="K21" s="234"/>
      <c r="L21" s="223" t="str">
        <f>_xlfn.CONCAT(L20:N20)</f>
        <v>000</v>
      </c>
      <c r="M21" s="224"/>
      <c r="N21" s="225"/>
      <c r="O21" s="33"/>
      <c r="P21" s="1"/>
      <c r="Q21" s="1"/>
      <c r="R21" s="34"/>
      <c r="S21" s="34"/>
      <c r="T21" s="34"/>
      <c r="U21" s="34"/>
    </row>
    <row r="22" spans="1:26" x14ac:dyDescent="0.35">
      <c r="C22" s="80">
        <v>3</v>
      </c>
      <c r="D22" s="92" t="s">
        <v>39</v>
      </c>
      <c r="E22" s="19" t="str">
        <f t="shared" si="15"/>
        <v>1101</v>
      </c>
      <c r="F22" s="19">
        <f t="shared" si="16"/>
        <v>13</v>
      </c>
      <c r="G22" s="200">
        <f t="shared" si="17"/>
        <v>4</v>
      </c>
      <c r="H22" s="204" t="str">
        <f t="shared" si="18"/>
        <v>69</v>
      </c>
    </row>
    <row r="23" spans="1:26" x14ac:dyDescent="0.35">
      <c r="C23" s="80">
        <v>4</v>
      </c>
      <c r="D23" s="92" t="s">
        <v>37</v>
      </c>
      <c r="E23" s="19" t="str">
        <f t="shared" si="15"/>
        <v>1110</v>
      </c>
      <c r="F23" s="19">
        <f t="shared" si="16"/>
        <v>14</v>
      </c>
      <c r="G23" s="200">
        <f t="shared" si="17"/>
        <v>4</v>
      </c>
      <c r="H23" s="204" t="str">
        <f t="shared" si="18"/>
        <v>74</v>
      </c>
      <c r="J23" s="229" t="s">
        <v>51</v>
      </c>
      <c r="K23" s="229"/>
      <c r="L23" s="229"/>
      <c r="M23" s="229"/>
      <c r="N23" s="229" t="s">
        <v>52</v>
      </c>
      <c r="O23" s="229"/>
      <c r="P23" s="229"/>
    </row>
    <row r="24" spans="1:26" ht="18.600000000000001" thickBot="1" x14ac:dyDescent="0.4">
      <c r="C24" s="80">
        <v>5</v>
      </c>
      <c r="D24" s="90" t="s">
        <v>88</v>
      </c>
      <c r="E24" s="19" t="str">
        <f>MID(D24,1,4)</f>
        <v>1111</v>
      </c>
      <c r="F24" s="19">
        <f>BIN2DEC(E24)</f>
        <v>15</v>
      </c>
      <c r="G24" s="200">
        <f>LEN(D24)-LEN(SUBSTITUTE(D24,"1",""))</f>
        <v>7</v>
      </c>
      <c r="H24" s="204" t="str">
        <f t="shared" si="18"/>
        <v>7F</v>
      </c>
      <c r="J24" s="61" t="str">
        <f>K5</f>
        <v>1</v>
      </c>
      <c r="K24" s="61" t="str">
        <f t="shared" ref="K24:M24" si="20">L5</f>
        <v>1</v>
      </c>
      <c r="L24" s="61" t="str">
        <f t="shared" si="20"/>
        <v>0</v>
      </c>
      <c r="M24" s="61" t="str">
        <f t="shared" si="20"/>
        <v>0</v>
      </c>
      <c r="N24" s="62">
        <f>L20</f>
        <v>0</v>
      </c>
      <c r="O24" s="62">
        <f t="shared" ref="O24:P24" si="21">M20</f>
        <v>0</v>
      </c>
      <c r="P24" s="62">
        <f t="shared" si="21"/>
        <v>0</v>
      </c>
    </row>
    <row r="25" spans="1:26" x14ac:dyDescent="0.35">
      <c r="C25" s="79">
        <v>6</v>
      </c>
      <c r="D25" s="89" t="s">
        <v>85</v>
      </c>
      <c r="E25" s="22" t="str">
        <f>MID(D25,1,4)</f>
        <v>0101</v>
      </c>
      <c r="F25" s="22">
        <f>BIN2DEC(E25)</f>
        <v>5</v>
      </c>
      <c r="G25" s="97">
        <f>LEN(D25)-LEN(SUBSTITUTE(D25,"1",""))</f>
        <v>3</v>
      </c>
      <c r="H25" s="211" t="str">
        <f t="shared" si="18"/>
        <v>2C</v>
      </c>
      <c r="J25" s="230" t="s">
        <v>27</v>
      </c>
      <c r="K25" s="230"/>
      <c r="L25" s="230"/>
      <c r="M25" s="230"/>
      <c r="N25" s="230" t="str">
        <f>_xlfn.CONCAT(J24:P24)</f>
        <v>1100000</v>
      </c>
      <c r="O25" s="230"/>
      <c r="P25" s="230"/>
    </row>
    <row r="26" spans="1:26" x14ac:dyDescent="0.35">
      <c r="C26" s="94">
        <v>7</v>
      </c>
      <c r="D26" s="92" t="s">
        <v>107</v>
      </c>
      <c r="E26" s="19" t="str">
        <f>MID(D26,1,4)</f>
        <v>1010</v>
      </c>
      <c r="F26" s="19">
        <f>BIN2DEC(E26)</f>
        <v>10</v>
      </c>
      <c r="G26" s="200">
        <f>LEN(D26)-LEN(SUBSTITUTE(D26,"1",""))</f>
        <v>4</v>
      </c>
      <c r="H26" s="204" t="str">
        <f t="shared" si="18"/>
        <v>53</v>
      </c>
    </row>
    <row r="27" spans="1:26" ht="18.600000000000001" thickBot="1" x14ac:dyDescent="0.4">
      <c r="C27" s="80">
        <v>8</v>
      </c>
      <c r="D27" s="92" t="s">
        <v>95</v>
      </c>
      <c r="E27" s="19" t="str">
        <f t="shared" ref="E27:E33" si="22">MID(D27,1,4)</f>
        <v>0001</v>
      </c>
      <c r="F27" s="19">
        <f t="shared" ref="F27:F33" si="23">BIN2DEC(E27)</f>
        <v>1</v>
      </c>
      <c r="G27" s="200">
        <f t="shared" ref="G27:G33" si="24">LEN(D27)-LEN(SUBSTITUTE(D27,"1",""))</f>
        <v>3</v>
      </c>
      <c r="H27" s="204" t="str">
        <f t="shared" si="18"/>
        <v>B</v>
      </c>
      <c r="K27" s="103" t="s">
        <v>28</v>
      </c>
      <c r="L27" s="103" t="s">
        <v>83</v>
      </c>
      <c r="M27" s="104" t="s">
        <v>89</v>
      </c>
      <c r="N27" s="104" t="s">
        <v>39</v>
      </c>
      <c r="O27" s="104" t="s">
        <v>37</v>
      </c>
      <c r="P27" s="105" t="s">
        <v>88</v>
      </c>
      <c r="Q27" s="106" t="s">
        <v>85</v>
      </c>
      <c r="R27" s="104" t="s">
        <v>107</v>
      </c>
      <c r="S27" s="104" t="s">
        <v>95</v>
      </c>
      <c r="T27" s="104" t="s">
        <v>97</v>
      </c>
      <c r="U27" s="104" t="s">
        <v>99</v>
      </c>
      <c r="V27" s="104" t="s">
        <v>101</v>
      </c>
      <c r="W27" s="104" t="s">
        <v>103</v>
      </c>
      <c r="X27" s="104" t="s">
        <v>105</v>
      </c>
      <c r="Y27" s="107" t="s">
        <v>108</v>
      </c>
      <c r="Z27" s="105" t="s">
        <v>87</v>
      </c>
    </row>
    <row r="28" spans="1:26" x14ac:dyDescent="0.35">
      <c r="C28" s="80">
        <v>9</v>
      </c>
      <c r="D28" s="92" t="s">
        <v>97</v>
      </c>
      <c r="E28" s="19" t="str">
        <f t="shared" si="22"/>
        <v>0011</v>
      </c>
      <c r="F28" s="19">
        <f t="shared" si="23"/>
        <v>3</v>
      </c>
      <c r="G28" s="200">
        <f t="shared" si="24"/>
        <v>4</v>
      </c>
      <c r="H28" s="204" t="str">
        <f t="shared" si="18"/>
        <v>1D</v>
      </c>
      <c r="J28" s="97" t="s">
        <v>28</v>
      </c>
      <c r="K28" s="108">
        <f>MOD(MID($J28,1,1)+MID(K$27,1,1),2)+MOD(MID($J28,2,1)+MID(K$27,2,1),2)+MOD(MID($J28,3,1)+MID(K$27,3,1),2)+MOD(MID($J28,4,1)+MID(K$27,4,1),2)+MOD(MID($J28,5,1)+MID(K$27,5,1),2)+MOD(MID($J28,6,1)+MID(K$27,6,1),2)+MOD(MID($J28,7,1)+MID(K$27,7,1),2)</f>
        <v>0</v>
      </c>
      <c r="L28" s="109">
        <f t="shared" ref="L28:Z28" si="25">MOD(MID($J28,1,1)+MID(L$27,1,1),2)+MOD(MID($J28,2,1)+MID(L$27,2,1),2)+MOD(MID($J28,3,1)+MID(L$27,3,1),2)+MOD(MID($J28,4,1)+MID(L$27,4,1),2)+MOD(MID($J28,5,1)+MID(L$27,5,1),2)+MOD(MID($J28,6,1)+MID(L$27,6,1),2)+MOD(MID($J28,7,1)+MID(L$27,7,1),2)</f>
        <v>3</v>
      </c>
      <c r="M28" s="109">
        <f t="shared" si="25"/>
        <v>4</v>
      </c>
      <c r="N28" s="109">
        <f t="shared" si="25"/>
        <v>7</v>
      </c>
      <c r="O28" s="109">
        <f t="shared" si="25"/>
        <v>3</v>
      </c>
      <c r="P28" s="109">
        <f t="shared" si="25"/>
        <v>4</v>
      </c>
      <c r="Q28" s="109">
        <f t="shared" si="25"/>
        <v>4</v>
      </c>
      <c r="R28" s="109">
        <f t="shared" si="25"/>
        <v>3</v>
      </c>
      <c r="S28" s="109">
        <f t="shared" si="25"/>
        <v>4</v>
      </c>
      <c r="T28" s="109">
        <f t="shared" si="25"/>
        <v>3</v>
      </c>
      <c r="U28" s="109">
        <f t="shared" si="25"/>
        <v>3</v>
      </c>
      <c r="V28" s="109">
        <f t="shared" si="25"/>
        <v>4</v>
      </c>
      <c r="W28" s="109">
        <f t="shared" si="25"/>
        <v>4</v>
      </c>
      <c r="X28" s="109">
        <f t="shared" si="25"/>
        <v>3</v>
      </c>
      <c r="Y28" s="109">
        <f t="shared" si="25"/>
        <v>4</v>
      </c>
      <c r="Z28" s="110">
        <f t="shared" si="25"/>
        <v>3</v>
      </c>
    </row>
    <row r="29" spans="1:26" x14ac:dyDescent="0.35">
      <c r="C29" s="80">
        <v>10</v>
      </c>
      <c r="D29" s="92" t="s">
        <v>99</v>
      </c>
      <c r="E29" s="19" t="str">
        <f t="shared" si="22"/>
        <v>0100</v>
      </c>
      <c r="F29" s="19">
        <f t="shared" si="23"/>
        <v>4</v>
      </c>
      <c r="G29" s="200">
        <f t="shared" si="24"/>
        <v>4</v>
      </c>
      <c r="H29" s="204" t="str">
        <f t="shared" si="18"/>
        <v>27</v>
      </c>
      <c r="J29" s="97" t="s">
        <v>83</v>
      </c>
      <c r="K29" s="111">
        <f t="shared" ref="K29:Z43" si="26">MOD(MID($J29,1,1)+MID(K$27,1,1),2)+MOD(MID($J29,2,1)+MID(K$27,2,1),2)+MOD(MID($J29,3,1)+MID(K$27,3,1),2)+MOD(MID($J29,4,1)+MID(K$27,4,1),2)+MOD(MID($J29,5,1)+MID(K$27,5,1),2)+MOD(MID($J29,6,1)+MID(K$27,6,1),2)+MOD(MID($J29,7,1)+MID(K$27,7,1),2)</f>
        <v>3</v>
      </c>
      <c r="L29" s="112">
        <f t="shared" si="26"/>
        <v>0</v>
      </c>
      <c r="M29" s="112">
        <f t="shared" si="26"/>
        <v>3</v>
      </c>
      <c r="N29" s="112">
        <f t="shared" si="26"/>
        <v>4</v>
      </c>
      <c r="O29" s="112">
        <f t="shared" si="26"/>
        <v>4</v>
      </c>
      <c r="P29" s="112">
        <f t="shared" si="26"/>
        <v>3</v>
      </c>
      <c r="Q29" s="112">
        <f t="shared" si="26"/>
        <v>3</v>
      </c>
      <c r="R29" s="112">
        <f t="shared" si="26"/>
        <v>4</v>
      </c>
      <c r="S29" s="112">
        <f t="shared" si="26"/>
        <v>3</v>
      </c>
      <c r="T29" s="112">
        <f t="shared" si="26"/>
        <v>4</v>
      </c>
      <c r="U29" s="112">
        <f t="shared" si="26"/>
        <v>4</v>
      </c>
      <c r="V29" s="112">
        <f t="shared" si="26"/>
        <v>3</v>
      </c>
      <c r="W29" s="112">
        <f t="shared" si="26"/>
        <v>7</v>
      </c>
      <c r="X29" s="112">
        <f t="shared" si="26"/>
        <v>4</v>
      </c>
      <c r="Y29" s="112">
        <f t="shared" si="26"/>
        <v>3</v>
      </c>
      <c r="Z29" s="113">
        <f t="shared" si="26"/>
        <v>4</v>
      </c>
    </row>
    <row r="30" spans="1:26" x14ac:dyDescent="0.35">
      <c r="C30" s="80">
        <v>11</v>
      </c>
      <c r="D30" s="92" t="s">
        <v>101</v>
      </c>
      <c r="E30" s="19" t="str">
        <f t="shared" si="22"/>
        <v>0110</v>
      </c>
      <c r="F30" s="19">
        <f t="shared" si="23"/>
        <v>6</v>
      </c>
      <c r="G30" s="200">
        <f t="shared" si="24"/>
        <v>3</v>
      </c>
      <c r="H30" s="204" t="str">
        <f t="shared" si="18"/>
        <v>31</v>
      </c>
      <c r="J30" s="98" t="s">
        <v>89</v>
      </c>
      <c r="K30" s="111">
        <f t="shared" si="26"/>
        <v>4</v>
      </c>
      <c r="L30" s="112">
        <f t="shared" si="26"/>
        <v>3</v>
      </c>
      <c r="M30" s="112">
        <f t="shared" si="26"/>
        <v>0</v>
      </c>
      <c r="N30" s="112">
        <f t="shared" si="26"/>
        <v>3</v>
      </c>
      <c r="O30" s="112">
        <f t="shared" si="26"/>
        <v>3</v>
      </c>
      <c r="P30" s="112">
        <f t="shared" si="26"/>
        <v>4</v>
      </c>
      <c r="Q30" s="112">
        <f t="shared" si="26"/>
        <v>4</v>
      </c>
      <c r="R30" s="112">
        <f t="shared" si="26"/>
        <v>3</v>
      </c>
      <c r="S30" s="112">
        <f t="shared" si="26"/>
        <v>4</v>
      </c>
      <c r="T30" s="112">
        <f t="shared" si="26"/>
        <v>3</v>
      </c>
      <c r="U30" s="112">
        <f t="shared" si="26"/>
        <v>7</v>
      </c>
      <c r="V30" s="112">
        <f t="shared" si="26"/>
        <v>4</v>
      </c>
      <c r="W30" s="112">
        <f t="shared" si="26"/>
        <v>4</v>
      </c>
      <c r="X30" s="112">
        <f t="shared" si="26"/>
        <v>3</v>
      </c>
      <c r="Y30" s="112">
        <f t="shared" si="26"/>
        <v>4</v>
      </c>
      <c r="Z30" s="113">
        <f t="shared" si="26"/>
        <v>3</v>
      </c>
    </row>
    <row r="31" spans="1:26" x14ac:dyDescent="0.35">
      <c r="C31" s="80">
        <v>12</v>
      </c>
      <c r="D31" s="92" t="s">
        <v>103</v>
      </c>
      <c r="E31" s="19" t="str">
        <f t="shared" si="22"/>
        <v>1000</v>
      </c>
      <c r="F31" s="19">
        <f t="shared" si="23"/>
        <v>8</v>
      </c>
      <c r="G31" s="200">
        <f t="shared" si="24"/>
        <v>3</v>
      </c>
      <c r="H31" s="204" t="str">
        <f t="shared" si="18"/>
        <v>45</v>
      </c>
      <c r="J31" s="98" t="s">
        <v>39</v>
      </c>
      <c r="K31" s="111">
        <f t="shared" si="26"/>
        <v>7</v>
      </c>
      <c r="L31" s="112">
        <f t="shared" si="26"/>
        <v>4</v>
      </c>
      <c r="M31" s="112">
        <f t="shared" si="26"/>
        <v>3</v>
      </c>
      <c r="N31" s="112">
        <f t="shared" si="26"/>
        <v>0</v>
      </c>
      <c r="O31" s="112">
        <f t="shared" si="26"/>
        <v>4</v>
      </c>
      <c r="P31" s="112">
        <f t="shared" si="26"/>
        <v>3</v>
      </c>
      <c r="Q31" s="112">
        <f t="shared" si="26"/>
        <v>3</v>
      </c>
      <c r="R31" s="112">
        <f t="shared" si="26"/>
        <v>4</v>
      </c>
      <c r="S31" s="112">
        <f t="shared" si="26"/>
        <v>3</v>
      </c>
      <c r="T31" s="112">
        <f t="shared" si="26"/>
        <v>4</v>
      </c>
      <c r="U31" s="112">
        <f t="shared" si="26"/>
        <v>4</v>
      </c>
      <c r="V31" s="112">
        <f t="shared" si="26"/>
        <v>3</v>
      </c>
      <c r="W31" s="112">
        <f t="shared" si="26"/>
        <v>3</v>
      </c>
      <c r="X31" s="112">
        <f t="shared" si="26"/>
        <v>4</v>
      </c>
      <c r="Y31" s="112">
        <f t="shared" si="26"/>
        <v>3</v>
      </c>
      <c r="Z31" s="113">
        <f t="shared" si="26"/>
        <v>4</v>
      </c>
    </row>
    <row r="32" spans="1:26" x14ac:dyDescent="0.35">
      <c r="C32" s="80">
        <v>13</v>
      </c>
      <c r="D32" s="92" t="s">
        <v>105</v>
      </c>
      <c r="E32" s="19" t="str">
        <f t="shared" si="22"/>
        <v>1001</v>
      </c>
      <c r="F32" s="19">
        <f t="shared" si="23"/>
        <v>9</v>
      </c>
      <c r="G32" s="200">
        <f t="shared" si="24"/>
        <v>4</v>
      </c>
      <c r="H32" s="204" t="str">
        <f t="shared" si="18"/>
        <v>4E</v>
      </c>
      <c r="J32" s="98" t="s">
        <v>37</v>
      </c>
      <c r="K32" s="111">
        <f t="shared" si="26"/>
        <v>3</v>
      </c>
      <c r="L32" s="112">
        <f t="shared" si="26"/>
        <v>4</v>
      </c>
      <c r="M32" s="112">
        <f t="shared" si="26"/>
        <v>3</v>
      </c>
      <c r="N32" s="112">
        <f t="shared" si="26"/>
        <v>4</v>
      </c>
      <c r="O32" s="112">
        <f t="shared" si="26"/>
        <v>0</v>
      </c>
      <c r="P32" s="112">
        <f t="shared" si="26"/>
        <v>3</v>
      </c>
      <c r="Q32" s="112">
        <f t="shared" si="26"/>
        <v>3</v>
      </c>
      <c r="R32" s="112">
        <f t="shared" si="26"/>
        <v>4</v>
      </c>
      <c r="S32" s="112">
        <f t="shared" si="26"/>
        <v>7</v>
      </c>
      <c r="T32" s="112">
        <f t="shared" si="26"/>
        <v>4</v>
      </c>
      <c r="U32" s="112">
        <f t="shared" si="26"/>
        <v>4</v>
      </c>
      <c r="V32" s="112">
        <f t="shared" si="26"/>
        <v>3</v>
      </c>
      <c r="W32" s="112">
        <f t="shared" si="26"/>
        <v>3</v>
      </c>
      <c r="X32" s="112">
        <f t="shared" si="26"/>
        <v>4</v>
      </c>
      <c r="Y32" s="112">
        <f t="shared" si="26"/>
        <v>3</v>
      </c>
      <c r="Z32" s="113">
        <f t="shared" si="26"/>
        <v>4</v>
      </c>
    </row>
    <row r="33" spans="3:26" x14ac:dyDescent="0.35">
      <c r="C33" s="80">
        <v>14</v>
      </c>
      <c r="D33" s="96" t="s">
        <v>108</v>
      </c>
      <c r="E33" s="19" t="str">
        <f t="shared" si="22"/>
        <v>1100</v>
      </c>
      <c r="F33" s="19">
        <f t="shared" si="23"/>
        <v>12</v>
      </c>
      <c r="G33" s="200">
        <f t="shared" si="24"/>
        <v>3</v>
      </c>
      <c r="H33" s="204" t="str">
        <f t="shared" si="18"/>
        <v>62</v>
      </c>
      <c r="J33" s="99" t="s">
        <v>88</v>
      </c>
      <c r="K33" s="111">
        <f t="shared" si="26"/>
        <v>4</v>
      </c>
      <c r="L33" s="112">
        <f t="shared" si="26"/>
        <v>3</v>
      </c>
      <c r="M33" s="112">
        <f t="shared" si="26"/>
        <v>4</v>
      </c>
      <c r="N33" s="112">
        <f t="shared" si="26"/>
        <v>3</v>
      </c>
      <c r="O33" s="112">
        <f t="shared" si="26"/>
        <v>3</v>
      </c>
      <c r="P33" s="112">
        <f t="shared" si="26"/>
        <v>0</v>
      </c>
      <c r="Q33" s="112">
        <f t="shared" si="26"/>
        <v>4</v>
      </c>
      <c r="R33" s="112">
        <f t="shared" si="26"/>
        <v>3</v>
      </c>
      <c r="S33" s="112">
        <f t="shared" si="26"/>
        <v>4</v>
      </c>
      <c r="T33" s="112">
        <f t="shared" si="26"/>
        <v>3</v>
      </c>
      <c r="U33" s="112">
        <f t="shared" si="26"/>
        <v>3</v>
      </c>
      <c r="V33" s="112">
        <f t="shared" si="26"/>
        <v>4</v>
      </c>
      <c r="W33" s="112">
        <f t="shared" si="26"/>
        <v>4</v>
      </c>
      <c r="X33" s="112">
        <f t="shared" si="26"/>
        <v>3</v>
      </c>
      <c r="Y33" s="112">
        <f t="shared" si="26"/>
        <v>4</v>
      </c>
      <c r="Z33" s="113">
        <f t="shared" si="26"/>
        <v>7</v>
      </c>
    </row>
    <row r="34" spans="3:26" ht="18.600000000000001" thickBot="1" x14ac:dyDescent="0.4">
      <c r="C34" s="81">
        <v>15</v>
      </c>
      <c r="D34" s="91" t="s">
        <v>87</v>
      </c>
      <c r="E34" s="16" t="str">
        <f>MID(D34,1,4)</f>
        <v>0000</v>
      </c>
      <c r="F34" s="16">
        <f>BIN2DEC(E34)</f>
        <v>0</v>
      </c>
      <c r="G34" s="201">
        <f>LEN(D34)-LEN(SUBSTITUTE(D34,"1",""))</f>
        <v>0</v>
      </c>
      <c r="H34" s="204" t="str">
        <f t="shared" si="18"/>
        <v>0</v>
      </c>
      <c r="J34" s="100" t="s">
        <v>85</v>
      </c>
      <c r="K34" s="111">
        <f t="shared" si="26"/>
        <v>4</v>
      </c>
      <c r="L34" s="112">
        <f t="shared" si="26"/>
        <v>3</v>
      </c>
      <c r="M34" s="112">
        <f t="shared" si="26"/>
        <v>4</v>
      </c>
      <c r="N34" s="112">
        <f t="shared" si="26"/>
        <v>3</v>
      </c>
      <c r="O34" s="112">
        <f t="shared" si="26"/>
        <v>3</v>
      </c>
      <c r="P34" s="112">
        <f t="shared" si="26"/>
        <v>4</v>
      </c>
      <c r="Q34" s="112">
        <f t="shared" si="26"/>
        <v>0</v>
      </c>
      <c r="R34" s="112">
        <f t="shared" si="26"/>
        <v>7</v>
      </c>
      <c r="S34" s="112">
        <f t="shared" si="26"/>
        <v>4</v>
      </c>
      <c r="T34" s="112">
        <f t="shared" si="26"/>
        <v>3</v>
      </c>
      <c r="U34" s="112">
        <f t="shared" si="26"/>
        <v>3</v>
      </c>
      <c r="V34" s="112">
        <f t="shared" si="26"/>
        <v>4</v>
      </c>
      <c r="W34" s="112">
        <f t="shared" si="26"/>
        <v>4</v>
      </c>
      <c r="X34" s="112">
        <f t="shared" si="26"/>
        <v>3</v>
      </c>
      <c r="Y34" s="112">
        <f t="shared" si="26"/>
        <v>4</v>
      </c>
      <c r="Z34" s="113">
        <f t="shared" si="26"/>
        <v>3</v>
      </c>
    </row>
    <row r="35" spans="3:26" x14ac:dyDescent="0.35">
      <c r="J35" s="98" t="s">
        <v>107</v>
      </c>
      <c r="K35" s="111">
        <f t="shared" si="26"/>
        <v>3</v>
      </c>
      <c r="L35" s="112">
        <f t="shared" si="26"/>
        <v>4</v>
      </c>
      <c r="M35" s="112">
        <f t="shared" si="26"/>
        <v>3</v>
      </c>
      <c r="N35" s="112">
        <f t="shared" si="26"/>
        <v>4</v>
      </c>
      <c r="O35" s="112">
        <f t="shared" si="26"/>
        <v>4</v>
      </c>
      <c r="P35" s="112">
        <f t="shared" si="26"/>
        <v>3</v>
      </c>
      <c r="Q35" s="112">
        <f t="shared" si="26"/>
        <v>7</v>
      </c>
      <c r="R35" s="112">
        <f t="shared" si="26"/>
        <v>0</v>
      </c>
      <c r="S35" s="112">
        <f t="shared" si="26"/>
        <v>3</v>
      </c>
      <c r="T35" s="112">
        <f t="shared" si="26"/>
        <v>4</v>
      </c>
      <c r="U35" s="112">
        <f t="shared" si="26"/>
        <v>4</v>
      </c>
      <c r="V35" s="112">
        <f t="shared" si="26"/>
        <v>3</v>
      </c>
      <c r="W35" s="112">
        <f t="shared" si="26"/>
        <v>3</v>
      </c>
      <c r="X35" s="112">
        <f t="shared" si="26"/>
        <v>4</v>
      </c>
      <c r="Y35" s="112">
        <f t="shared" si="26"/>
        <v>3</v>
      </c>
      <c r="Z35" s="113">
        <f t="shared" si="26"/>
        <v>4</v>
      </c>
    </row>
    <row r="36" spans="3:26" x14ac:dyDescent="0.35">
      <c r="J36" s="98" t="s">
        <v>95</v>
      </c>
      <c r="K36" s="111">
        <f t="shared" si="26"/>
        <v>4</v>
      </c>
      <c r="L36" s="112">
        <f t="shared" si="26"/>
        <v>3</v>
      </c>
      <c r="M36" s="112">
        <f t="shared" si="26"/>
        <v>4</v>
      </c>
      <c r="N36" s="112">
        <f t="shared" si="26"/>
        <v>3</v>
      </c>
      <c r="O36" s="112">
        <f t="shared" si="26"/>
        <v>7</v>
      </c>
      <c r="P36" s="112">
        <f t="shared" si="26"/>
        <v>4</v>
      </c>
      <c r="Q36" s="112">
        <f t="shared" si="26"/>
        <v>4</v>
      </c>
      <c r="R36" s="112">
        <f t="shared" si="26"/>
        <v>3</v>
      </c>
      <c r="S36" s="112">
        <f t="shared" si="26"/>
        <v>0</v>
      </c>
      <c r="T36" s="112">
        <f t="shared" si="26"/>
        <v>3</v>
      </c>
      <c r="U36" s="112">
        <f t="shared" si="26"/>
        <v>3</v>
      </c>
      <c r="V36" s="112">
        <f t="shared" si="26"/>
        <v>4</v>
      </c>
      <c r="W36" s="112">
        <f t="shared" si="26"/>
        <v>4</v>
      </c>
      <c r="X36" s="112">
        <f t="shared" si="26"/>
        <v>3</v>
      </c>
      <c r="Y36" s="112">
        <f t="shared" si="26"/>
        <v>4</v>
      </c>
      <c r="Z36" s="113">
        <f t="shared" si="26"/>
        <v>3</v>
      </c>
    </row>
    <row r="37" spans="3:26" x14ac:dyDescent="0.35">
      <c r="J37" s="98" t="s">
        <v>97</v>
      </c>
      <c r="K37" s="111">
        <f t="shared" si="26"/>
        <v>3</v>
      </c>
      <c r="L37" s="112">
        <f t="shared" si="26"/>
        <v>4</v>
      </c>
      <c r="M37" s="112">
        <f t="shared" si="26"/>
        <v>3</v>
      </c>
      <c r="N37" s="112">
        <f t="shared" si="26"/>
        <v>4</v>
      </c>
      <c r="O37" s="112">
        <f t="shared" si="26"/>
        <v>4</v>
      </c>
      <c r="P37" s="112">
        <f t="shared" si="26"/>
        <v>3</v>
      </c>
      <c r="Q37" s="112">
        <f t="shared" si="26"/>
        <v>3</v>
      </c>
      <c r="R37" s="112">
        <f t="shared" si="26"/>
        <v>4</v>
      </c>
      <c r="S37" s="112">
        <f t="shared" si="26"/>
        <v>3</v>
      </c>
      <c r="T37" s="112">
        <f t="shared" si="26"/>
        <v>0</v>
      </c>
      <c r="U37" s="112">
        <f t="shared" si="26"/>
        <v>4</v>
      </c>
      <c r="V37" s="112">
        <f t="shared" si="26"/>
        <v>3</v>
      </c>
      <c r="W37" s="112">
        <f t="shared" si="26"/>
        <v>3</v>
      </c>
      <c r="X37" s="112">
        <f t="shared" si="26"/>
        <v>4</v>
      </c>
      <c r="Y37" s="112">
        <f t="shared" si="26"/>
        <v>7</v>
      </c>
      <c r="Z37" s="113">
        <f t="shared" si="26"/>
        <v>4</v>
      </c>
    </row>
    <row r="38" spans="3:26" x14ac:dyDescent="0.35">
      <c r="J38" s="98" t="s">
        <v>99</v>
      </c>
      <c r="K38" s="111">
        <f t="shared" si="26"/>
        <v>3</v>
      </c>
      <c r="L38" s="112">
        <f t="shared" si="26"/>
        <v>4</v>
      </c>
      <c r="M38" s="112">
        <f t="shared" si="26"/>
        <v>7</v>
      </c>
      <c r="N38" s="112">
        <f t="shared" si="26"/>
        <v>4</v>
      </c>
      <c r="O38" s="112">
        <f t="shared" si="26"/>
        <v>4</v>
      </c>
      <c r="P38" s="112">
        <f t="shared" si="26"/>
        <v>3</v>
      </c>
      <c r="Q38" s="112">
        <f t="shared" si="26"/>
        <v>3</v>
      </c>
      <c r="R38" s="112">
        <f t="shared" si="26"/>
        <v>4</v>
      </c>
      <c r="S38" s="112">
        <f t="shared" si="26"/>
        <v>3</v>
      </c>
      <c r="T38" s="112">
        <f t="shared" si="26"/>
        <v>4</v>
      </c>
      <c r="U38" s="112">
        <f t="shared" si="26"/>
        <v>0</v>
      </c>
      <c r="V38" s="112">
        <f t="shared" si="26"/>
        <v>3</v>
      </c>
      <c r="W38" s="112">
        <f t="shared" si="26"/>
        <v>3</v>
      </c>
      <c r="X38" s="112">
        <f t="shared" si="26"/>
        <v>4</v>
      </c>
      <c r="Y38" s="112">
        <f t="shared" si="26"/>
        <v>3</v>
      </c>
      <c r="Z38" s="113">
        <f t="shared" si="26"/>
        <v>4</v>
      </c>
    </row>
    <row r="39" spans="3:26" x14ac:dyDescent="0.35">
      <c r="J39" s="98" t="s">
        <v>101</v>
      </c>
      <c r="K39" s="111">
        <f t="shared" si="26"/>
        <v>4</v>
      </c>
      <c r="L39" s="112">
        <f t="shared" si="26"/>
        <v>3</v>
      </c>
      <c r="M39" s="112">
        <f t="shared" si="26"/>
        <v>4</v>
      </c>
      <c r="N39" s="112">
        <f t="shared" si="26"/>
        <v>3</v>
      </c>
      <c r="O39" s="112">
        <f t="shared" si="26"/>
        <v>3</v>
      </c>
      <c r="P39" s="112">
        <f t="shared" si="26"/>
        <v>4</v>
      </c>
      <c r="Q39" s="112">
        <f t="shared" si="26"/>
        <v>4</v>
      </c>
      <c r="R39" s="112">
        <f t="shared" si="26"/>
        <v>3</v>
      </c>
      <c r="S39" s="112">
        <f t="shared" si="26"/>
        <v>4</v>
      </c>
      <c r="T39" s="112">
        <f t="shared" si="26"/>
        <v>3</v>
      </c>
      <c r="U39" s="112">
        <f t="shared" si="26"/>
        <v>3</v>
      </c>
      <c r="V39" s="112">
        <f t="shared" si="26"/>
        <v>0</v>
      </c>
      <c r="W39" s="112">
        <f t="shared" si="26"/>
        <v>4</v>
      </c>
      <c r="X39" s="112">
        <f t="shared" si="26"/>
        <v>7</v>
      </c>
      <c r="Y39" s="112">
        <f t="shared" si="26"/>
        <v>4</v>
      </c>
      <c r="Z39" s="113">
        <f t="shared" si="26"/>
        <v>3</v>
      </c>
    </row>
    <row r="40" spans="3:26" x14ac:dyDescent="0.35">
      <c r="J40" s="98" t="s">
        <v>103</v>
      </c>
      <c r="K40" s="111">
        <f t="shared" si="26"/>
        <v>4</v>
      </c>
      <c r="L40" s="112">
        <f t="shared" si="26"/>
        <v>7</v>
      </c>
      <c r="M40" s="112">
        <f t="shared" si="26"/>
        <v>4</v>
      </c>
      <c r="N40" s="112">
        <f t="shared" si="26"/>
        <v>3</v>
      </c>
      <c r="O40" s="112">
        <f t="shared" si="26"/>
        <v>3</v>
      </c>
      <c r="P40" s="112">
        <f t="shared" si="26"/>
        <v>4</v>
      </c>
      <c r="Q40" s="112">
        <f t="shared" si="26"/>
        <v>4</v>
      </c>
      <c r="R40" s="112">
        <f t="shared" si="26"/>
        <v>3</v>
      </c>
      <c r="S40" s="112">
        <f t="shared" si="26"/>
        <v>4</v>
      </c>
      <c r="T40" s="112">
        <f t="shared" si="26"/>
        <v>3</v>
      </c>
      <c r="U40" s="112">
        <f t="shared" si="26"/>
        <v>3</v>
      </c>
      <c r="V40" s="112">
        <f t="shared" si="26"/>
        <v>4</v>
      </c>
      <c r="W40" s="112">
        <f t="shared" si="26"/>
        <v>0</v>
      </c>
      <c r="X40" s="112">
        <f t="shared" si="26"/>
        <v>3</v>
      </c>
      <c r="Y40" s="112">
        <f t="shared" si="26"/>
        <v>4</v>
      </c>
      <c r="Z40" s="113">
        <f t="shared" si="26"/>
        <v>3</v>
      </c>
    </row>
    <row r="41" spans="3:26" x14ac:dyDescent="0.35">
      <c r="J41" s="98" t="s">
        <v>105</v>
      </c>
      <c r="K41" s="111">
        <f t="shared" si="26"/>
        <v>3</v>
      </c>
      <c r="L41" s="112">
        <f t="shared" si="26"/>
        <v>4</v>
      </c>
      <c r="M41" s="112">
        <f t="shared" si="26"/>
        <v>3</v>
      </c>
      <c r="N41" s="112">
        <f t="shared" si="26"/>
        <v>4</v>
      </c>
      <c r="O41" s="112">
        <f t="shared" si="26"/>
        <v>4</v>
      </c>
      <c r="P41" s="112">
        <f t="shared" si="26"/>
        <v>3</v>
      </c>
      <c r="Q41" s="112">
        <f t="shared" si="26"/>
        <v>3</v>
      </c>
      <c r="R41" s="112">
        <f t="shared" si="26"/>
        <v>4</v>
      </c>
      <c r="S41" s="112">
        <f t="shared" si="26"/>
        <v>3</v>
      </c>
      <c r="T41" s="112">
        <f t="shared" si="26"/>
        <v>4</v>
      </c>
      <c r="U41" s="112">
        <f t="shared" si="26"/>
        <v>4</v>
      </c>
      <c r="V41" s="112">
        <f t="shared" si="26"/>
        <v>7</v>
      </c>
      <c r="W41" s="112">
        <f t="shared" si="26"/>
        <v>3</v>
      </c>
      <c r="X41" s="112">
        <f t="shared" si="26"/>
        <v>0</v>
      </c>
      <c r="Y41" s="112">
        <f t="shared" si="26"/>
        <v>3</v>
      </c>
      <c r="Z41" s="113">
        <f t="shared" si="26"/>
        <v>4</v>
      </c>
    </row>
    <row r="42" spans="3:26" x14ac:dyDescent="0.35">
      <c r="J42" s="101" t="s">
        <v>108</v>
      </c>
      <c r="K42" s="111">
        <f t="shared" si="26"/>
        <v>4</v>
      </c>
      <c r="L42" s="112">
        <f t="shared" si="26"/>
        <v>3</v>
      </c>
      <c r="M42" s="112">
        <f t="shared" si="26"/>
        <v>4</v>
      </c>
      <c r="N42" s="112">
        <f t="shared" si="26"/>
        <v>3</v>
      </c>
      <c r="O42" s="112">
        <f t="shared" si="26"/>
        <v>3</v>
      </c>
      <c r="P42" s="112">
        <f t="shared" si="26"/>
        <v>4</v>
      </c>
      <c r="Q42" s="112">
        <f t="shared" si="26"/>
        <v>4</v>
      </c>
      <c r="R42" s="112">
        <f t="shared" si="26"/>
        <v>3</v>
      </c>
      <c r="S42" s="112">
        <f t="shared" si="26"/>
        <v>4</v>
      </c>
      <c r="T42" s="112">
        <f t="shared" si="26"/>
        <v>7</v>
      </c>
      <c r="U42" s="112">
        <f t="shared" si="26"/>
        <v>3</v>
      </c>
      <c r="V42" s="112">
        <f t="shared" si="26"/>
        <v>4</v>
      </c>
      <c r="W42" s="112">
        <f t="shared" si="26"/>
        <v>4</v>
      </c>
      <c r="X42" s="112">
        <f t="shared" si="26"/>
        <v>3</v>
      </c>
      <c r="Y42" s="112">
        <f t="shared" si="26"/>
        <v>0</v>
      </c>
      <c r="Z42" s="113">
        <f t="shared" si="26"/>
        <v>3</v>
      </c>
    </row>
    <row r="43" spans="3:26" ht="18.600000000000001" thickBot="1" x14ac:dyDescent="0.4">
      <c r="J43" s="102" t="s">
        <v>87</v>
      </c>
      <c r="K43" s="114">
        <f t="shared" si="26"/>
        <v>3</v>
      </c>
      <c r="L43" s="115">
        <f t="shared" si="26"/>
        <v>4</v>
      </c>
      <c r="M43" s="115">
        <f t="shared" si="26"/>
        <v>3</v>
      </c>
      <c r="N43" s="115">
        <f t="shared" si="26"/>
        <v>4</v>
      </c>
      <c r="O43" s="115">
        <f t="shared" si="26"/>
        <v>4</v>
      </c>
      <c r="P43" s="115">
        <f t="shared" si="26"/>
        <v>7</v>
      </c>
      <c r="Q43" s="115">
        <f t="shared" si="26"/>
        <v>3</v>
      </c>
      <c r="R43" s="115">
        <f t="shared" si="26"/>
        <v>4</v>
      </c>
      <c r="S43" s="115">
        <f t="shared" si="26"/>
        <v>3</v>
      </c>
      <c r="T43" s="115">
        <f t="shared" si="26"/>
        <v>4</v>
      </c>
      <c r="U43" s="115">
        <f t="shared" si="26"/>
        <v>4</v>
      </c>
      <c r="V43" s="115">
        <f t="shared" si="26"/>
        <v>3</v>
      </c>
      <c r="W43" s="115">
        <f t="shared" si="26"/>
        <v>3</v>
      </c>
      <c r="X43" s="115">
        <f t="shared" si="26"/>
        <v>4</v>
      </c>
      <c r="Y43" s="115">
        <f t="shared" si="26"/>
        <v>3</v>
      </c>
      <c r="Z43" s="116">
        <f t="shared" si="26"/>
        <v>0</v>
      </c>
    </row>
  </sheetData>
  <mergeCells count="17">
    <mergeCell ref="J23:M23"/>
    <mergeCell ref="N23:P23"/>
    <mergeCell ref="J25:M25"/>
    <mergeCell ref="N25:P25"/>
    <mergeCell ref="L21:N21"/>
    <mergeCell ref="J20:K21"/>
    <mergeCell ref="A1:A2"/>
    <mergeCell ref="C17:H17"/>
    <mergeCell ref="C10:E10"/>
    <mergeCell ref="J17:J18"/>
    <mergeCell ref="R3:U3"/>
    <mergeCell ref="J5:J6"/>
    <mergeCell ref="J9:J10"/>
    <mergeCell ref="R7:U7"/>
    <mergeCell ref="J13:J14"/>
    <mergeCell ref="R8:U8"/>
    <mergeCell ref="K3:Q3"/>
  </mergeCells>
  <phoneticPr fontId="8" type="noConversion"/>
  <conditionalFormatting sqref="K28:Z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FEF3C-E310-403F-975F-157DDD239743}">
  <dimension ref="A1:BW53"/>
  <sheetViews>
    <sheetView tabSelected="1" zoomScale="76" workbookViewId="0">
      <selection activeCell="L25" sqref="L25"/>
    </sheetView>
  </sheetViews>
  <sheetFormatPr defaultRowHeight="18" x14ac:dyDescent="0.35"/>
  <cols>
    <col min="1" max="1" width="3.88671875" style="3" bestFit="1" customWidth="1"/>
    <col min="2" max="2" width="16.88671875" style="3" bestFit="1" customWidth="1"/>
    <col min="3" max="3" width="16.109375" style="3" customWidth="1"/>
    <col min="4" max="4" width="12.6640625" style="3" customWidth="1"/>
    <col min="5" max="5" width="15.21875" style="3" customWidth="1"/>
    <col min="6" max="8" width="8.88671875" style="3"/>
    <col min="9" max="9" width="11.109375" style="3" customWidth="1"/>
    <col min="10" max="10" width="8.88671875" style="3"/>
    <col min="11" max="11" width="11.109375" style="3" bestFit="1" customWidth="1"/>
    <col min="12" max="15" width="8.88671875" style="3"/>
    <col min="16" max="16" width="11.109375" style="3" bestFit="1" customWidth="1"/>
    <col min="17" max="23" width="8.88671875" style="3"/>
    <col min="24" max="24" width="8.88671875" style="170"/>
    <col min="25" max="41" width="8.88671875" style="3"/>
    <col min="42" max="42" width="7.21875" style="170" customWidth="1"/>
    <col min="43" max="43" width="6.6640625" style="3" customWidth="1"/>
    <col min="44" max="44" width="12.88671875" style="3" customWidth="1"/>
    <col min="45" max="45" width="13.5546875" style="3" customWidth="1"/>
    <col min="46" max="46" width="11.109375" style="3" bestFit="1" customWidth="1"/>
    <col min="47" max="50" width="8.88671875" style="3"/>
    <col min="51" max="51" width="11.109375" style="3" bestFit="1" customWidth="1"/>
    <col min="52" max="58" width="8.88671875" style="3"/>
    <col min="59" max="59" width="8.88671875" style="170"/>
    <col min="60" max="16384" width="8.88671875" style="3"/>
  </cols>
  <sheetData>
    <row r="1" spans="1:75" ht="18.600000000000001" thickBot="1" x14ac:dyDescent="0.4">
      <c r="A1" s="287" t="s">
        <v>121</v>
      </c>
      <c r="B1" s="287"/>
      <c r="C1" s="287"/>
      <c r="D1" s="254">
        <v>1101</v>
      </c>
      <c r="E1" s="254"/>
      <c r="K1" s="3">
        <v>0</v>
      </c>
      <c r="L1" s="3">
        <v>1</v>
      </c>
      <c r="M1" s="3">
        <v>2</v>
      </c>
      <c r="N1" s="3">
        <v>3</v>
      </c>
      <c r="O1" s="3">
        <v>4</v>
      </c>
      <c r="P1" s="3">
        <v>0</v>
      </c>
      <c r="Q1" s="3">
        <v>1</v>
      </c>
      <c r="R1" s="3">
        <v>2</v>
      </c>
      <c r="S1" s="3">
        <v>3</v>
      </c>
      <c r="T1" s="3">
        <v>4</v>
      </c>
      <c r="U1" s="3">
        <v>5</v>
      </c>
      <c r="V1" s="3">
        <v>6</v>
      </c>
      <c r="W1" s="3">
        <v>7</v>
      </c>
      <c r="AC1" s="3">
        <v>0</v>
      </c>
      <c r="AD1" s="3">
        <v>1</v>
      </c>
      <c r="AE1" s="3">
        <v>2</v>
      </c>
      <c r="AF1" s="3">
        <v>3</v>
      </c>
      <c r="AG1" s="3">
        <v>4</v>
      </c>
      <c r="AH1" s="3">
        <v>0</v>
      </c>
      <c r="AI1" s="3">
        <v>1</v>
      </c>
      <c r="AJ1" s="3">
        <v>2</v>
      </c>
      <c r="AK1" s="3">
        <v>3</v>
      </c>
      <c r="AL1" s="3">
        <v>4</v>
      </c>
      <c r="AM1" s="3">
        <v>5</v>
      </c>
      <c r="AN1" s="3">
        <v>6</v>
      </c>
      <c r="AO1" s="3">
        <v>7</v>
      </c>
      <c r="AU1" s="3">
        <v>1</v>
      </c>
      <c r="AV1" s="3">
        <v>2</v>
      </c>
      <c r="AW1" s="3">
        <v>3</v>
      </c>
      <c r="AX1" s="3">
        <v>4</v>
      </c>
      <c r="AZ1" s="3">
        <v>1</v>
      </c>
      <c r="BA1" s="3">
        <v>2</v>
      </c>
      <c r="BB1" s="3">
        <v>3</v>
      </c>
      <c r="BC1" s="3">
        <v>4</v>
      </c>
      <c r="BD1" s="3">
        <v>5</v>
      </c>
      <c r="BE1" s="3">
        <v>6</v>
      </c>
      <c r="BF1" s="3">
        <v>7</v>
      </c>
      <c r="BL1" s="3">
        <v>1</v>
      </c>
      <c r="BM1" s="3">
        <v>2</v>
      </c>
      <c r="BN1" s="3">
        <v>3</v>
      </c>
      <c r="BO1" s="3">
        <v>4</v>
      </c>
      <c r="BQ1" s="3">
        <v>1</v>
      </c>
      <c r="BR1" s="3">
        <v>2</v>
      </c>
      <c r="BS1" s="3">
        <v>3</v>
      </c>
      <c r="BT1" s="3">
        <v>4</v>
      </c>
      <c r="BU1" s="3">
        <v>5</v>
      </c>
      <c r="BV1" s="3">
        <v>6</v>
      </c>
      <c r="BW1" s="3">
        <v>7</v>
      </c>
    </row>
    <row r="2" spans="1:75" ht="18.600000000000001" thickBot="1" x14ac:dyDescent="0.4">
      <c r="A2" s="151" t="s">
        <v>80</v>
      </c>
      <c r="B2" s="93" t="s">
        <v>109</v>
      </c>
      <c r="C2" s="151" t="s">
        <v>110</v>
      </c>
      <c r="D2" s="93" t="s">
        <v>111</v>
      </c>
      <c r="E2" s="93" t="s">
        <v>112</v>
      </c>
      <c r="G2" s="155" t="s">
        <v>68</v>
      </c>
      <c r="H2" s="156" t="s">
        <v>113</v>
      </c>
      <c r="I2" s="157" t="s">
        <v>114</v>
      </c>
      <c r="K2" s="242" t="s">
        <v>115</v>
      </c>
      <c r="L2" s="243"/>
      <c r="M2" s="243"/>
      <c r="N2" s="243"/>
      <c r="O2" s="244"/>
      <c r="P2" s="245" t="s">
        <v>116</v>
      </c>
      <c r="Q2" s="246"/>
      <c r="R2" s="246"/>
      <c r="S2" s="246"/>
      <c r="T2" s="246"/>
      <c r="U2" s="246"/>
      <c r="V2" s="246"/>
      <c r="W2" s="247"/>
      <c r="Y2" s="152" t="s">
        <v>68</v>
      </c>
      <c r="Z2" s="153" t="s">
        <v>113</v>
      </c>
      <c r="AA2" s="154" t="s">
        <v>114</v>
      </c>
      <c r="AC2" s="242" t="s">
        <v>115</v>
      </c>
      <c r="AD2" s="243"/>
      <c r="AE2" s="243"/>
      <c r="AF2" s="243"/>
      <c r="AG2" s="244"/>
      <c r="AH2" s="245" t="s">
        <v>116</v>
      </c>
      <c r="AI2" s="243"/>
      <c r="AJ2" s="243"/>
      <c r="AK2" s="243"/>
      <c r="AL2" s="243"/>
      <c r="AM2" s="243"/>
      <c r="AN2" s="243"/>
      <c r="AO2" s="244"/>
      <c r="AQ2" s="248" t="s">
        <v>117</v>
      </c>
      <c r="AR2" s="249"/>
      <c r="AS2" s="250"/>
      <c r="AU2" s="251" t="s">
        <v>118</v>
      </c>
      <c r="AV2" s="252"/>
      <c r="AW2" s="252"/>
      <c r="AX2" s="253"/>
      <c r="AZ2" s="251" t="s">
        <v>119</v>
      </c>
      <c r="BA2" s="252"/>
      <c r="BB2" s="252"/>
      <c r="BC2" s="252"/>
      <c r="BD2" s="252"/>
      <c r="BE2" s="252"/>
      <c r="BF2" s="253"/>
      <c r="BH2" s="248" t="s">
        <v>117</v>
      </c>
      <c r="BI2" s="249"/>
      <c r="BJ2" s="250"/>
      <c r="BL2" s="251" t="s">
        <v>118</v>
      </c>
      <c r="BM2" s="252"/>
      <c r="BN2" s="252"/>
      <c r="BO2" s="253"/>
      <c r="BQ2" s="251" t="s">
        <v>119</v>
      </c>
      <c r="BR2" s="252"/>
      <c r="BS2" s="252"/>
      <c r="BT2" s="252"/>
      <c r="BU2" s="252"/>
      <c r="BV2" s="252"/>
      <c r="BW2" s="253"/>
    </row>
    <row r="3" spans="1:75" ht="18.600000000000001" thickBot="1" x14ac:dyDescent="0.4">
      <c r="A3" s="151">
        <v>1</v>
      </c>
      <c r="B3" s="93" t="str">
        <f>DEC2BIN(C3,4)</f>
        <v>0000</v>
      </c>
      <c r="C3" s="151">
        <v>0</v>
      </c>
      <c r="D3" s="93" t="str">
        <f>DEC2BIN(E3,7)</f>
        <v>0000000</v>
      </c>
      <c r="E3" s="93">
        <v>0</v>
      </c>
      <c r="G3" s="94">
        <v>5</v>
      </c>
      <c r="H3" s="93" t="str">
        <f>DEC2BIN(G3,4)</f>
        <v>0101</v>
      </c>
      <c r="I3" s="158" t="str">
        <f>VLOOKUP(H3,табл2,3,0)</f>
        <v>0101110</v>
      </c>
      <c r="K3" s="162">
        <f>G3</f>
        <v>5</v>
      </c>
      <c r="L3" s="163" t="str">
        <f>MID($H3,L$1,1)</f>
        <v>0</v>
      </c>
      <c r="M3" s="164" t="str">
        <f t="shared" ref="M3:O3" si="0">MID($H3,M$1,1)</f>
        <v>1</v>
      </c>
      <c r="N3" s="164" t="str">
        <f t="shared" si="0"/>
        <v>0</v>
      </c>
      <c r="O3" s="165" t="str">
        <f t="shared" si="0"/>
        <v>1</v>
      </c>
      <c r="P3" s="166">
        <f>G3</f>
        <v>5</v>
      </c>
      <c r="Q3" s="163" t="str">
        <f>MID($I3,Q$1,1)</f>
        <v>0</v>
      </c>
      <c r="R3" s="164" t="str">
        <f t="shared" ref="R3:W3" si="1">MID($I3,R$1,1)</f>
        <v>1</v>
      </c>
      <c r="S3" s="164" t="str">
        <f t="shared" si="1"/>
        <v>0</v>
      </c>
      <c r="T3" s="164" t="str">
        <f t="shared" si="1"/>
        <v>1</v>
      </c>
      <c r="U3" s="164" t="str">
        <f t="shared" si="1"/>
        <v>1</v>
      </c>
      <c r="V3" s="164" t="str">
        <f t="shared" si="1"/>
        <v>1</v>
      </c>
      <c r="W3" s="165" t="str">
        <f t="shared" si="1"/>
        <v>0</v>
      </c>
      <c r="Y3" s="94">
        <v>2</v>
      </c>
      <c r="Z3" s="93" t="str">
        <f>DEC2BIN(Y3,4)</f>
        <v>0010</v>
      </c>
      <c r="AA3" s="158" t="str">
        <f>VLOOKUP(Z3,табл2,3,0)</f>
        <v>0010111</v>
      </c>
      <c r="AC3" s="120">
        <f>Y3</f>
        <v>2</v>
      </c>
      <c r="AD3" s="121" t="str">
        <f>MID($Z3,AD$1,1)</f>
        <v>0</v>
      </c>
      <c r="AE3" s="121" t="str">
        <f t="shared" ref="AE3:AG5" si="2">MID($Z3,AE$1,1)</f>
        <v>0</v>
      </c>
      <c r="AF3" s="121" t="str">
        <f t="shared" si="2"/>
        <v>1</v>
      </c>
      <c r="AG3" s="121" t="str">
        <f t="shared" si="2"/>
        <v>0</v>
      </c>
      <c r="AH3" s="124">
        <f>Y3</f>
        <v>2</v>
      </c>
      <c r="AI3" s="121" t="str">
        <f>MID($AA3,AI$1,1)</f>
        <v>0</v>
      </c>
      <c r="AJ3" s="122" t="str">
        <f t="shared" ref="AJ3:AO3" si="3">MID($AA3,AJ$1,1)</f>
        <v>0</v>
      </c>
      <c r="AK3" s="122" t="str">
        <f t="shared" si="3"/>
        <v>1</v>
      </c>
      <c r="AL3" s="122" t="str">
        <f t="shared" si="3"/>
        <v>0</v>
      </c>
      <c r="AM3" s="122" t="str">
        <f t="shared" si="3"/>
        <v>1</v>
      </c>
      <c r="AN3" s="122" t="str">
        <f t="shared" si="3"/>
        <v>1</v>
      </c>
      <c r="AO3" s="123" t="str">
        <f t="shared" si="3"/>
        <v>1</v>
      </c>
      <c r="AQ3" s="155" t="s">
        <v>68</v>
      </c>
      <c r="AR3" s="156" t="s">
        <v>113</v>
      </c>
      <c r="AS3" s="157" t="s">
        <v>114</v>
      </c>
      <c r="AU3" s="171" t="s">
        <v>64</v>
      </c>
      <c r="AV3" s="172" t="s">
        <v>65</v>
      </c>
      <c r="AW3" s="172" t="s">
        <v>66</v>
      </c>
      <c r="AX3" s="173" t="s">
        <v>67</v>
      </c>
      <c r="AZ3" s="171" t="s">
        <v>72</v>
      </c>
      <c r="BA3" s="172" t="s">
        <v>73</v>
      </c>
      <c r="BB3" s="172" t="s">
        <v>74</v>
      </c>
      <c r="BC3" s="172" t="s">
        <v>75</v>
      </c>
      <c r="BD3" s="172" t="s">
        <v>76</v>
      </c>
      <c r="BE3" s="172" t="s">
        <v>77</v>
      </c>
      <c r="BF3" s="173" t="s">
        <v>78</v>
      </c>
      <c r="BH3" s="152" t="s">
        <v>68</v>
      </c>
      <c r="BI3" s="153" t="s">
        <v>113</v>
      </c>
      <c r="BJ3" s="154" t="s">
        <v>114</v>
      </c>
      <c r="BL3" s="125" t="s">
        <v>64</v>
      </c>
      <c r="BM3" s="126" t="s">
        <v>65</v>
      </c>
      <c r="BN3" s="126" t="s">
        <v>66</v>
      </c>
      <c r="BO3" s="127" t="s">
        <v>67</v>
      </c>
      <c r="BQ3" s="125" t="s">
        <v>72</v>
      </c>
      <c r="BR3" s="126" t="s">
        <v>73</v>
      </c>
      <c r="BS3" s="126" t="s">
        <v>74</v>
      </c>
      <c r="BT3" s="126" t="s">
        <v>75</v>
      </c>
      <c r="BU3" s="126" t="s">
        <v>76</v>
      </c>
      <c r="BV3" s="126" t="s">
        <v>77</v>
      </c>
      <c r="BW3" s="127" t="s">
        <v>78</v>
      </c>
    </row>
    <row r="4" spans="1:75" ht="18.600000000000001" thickBot="1" x14ac:dyDescent="0.4">
      <c r="A4" s="151">
        <v>2</v>
      </c>
      <c r="B4" s="93" t="str">
        <f t="shared" ref="B4:B18" si="4">DEC2BIN(C4,4)</f>
        <v>0001</v>
      </c>
      <c r="C4" s="151">
        <v>1</v>
      </c>
      <c r="D4" s="93" t="str">
        <f t="shared" ref="D4:D18" si="5">DEC2BIN(E4,7)</f>
        <v>0001101</v>
      </c>
      <c r="E4" s="93">
        <v>13</v>
      </c>
      <c r="G4" s="94">
        <v>8</v>
      </c>
      <c r="H4" s="93" t="str">
        <f t="shared" ref="H4:H5" si="6">DEC2BIN(G4,4)</f>
        <v>1000</v>
      </c>
      <c r="I4" s="158" t="str">
        <f>VLOOKUP(H4,табл2,3,0)</f>
        <v>1000110</v>
      </c>
      <c r="K4" s="167">
        <f t="shared" ref="K4:K5" si="7">G4</f>
        <v>8</v>
      </c>
      <c r="L4" s="94" t="str">
        <f t="shared" ref="L4:O5" si="8">MID($H4,L$1,1)</f>
        <v>1</v>
      </c>
      <c r="M4" s="93" t="str">
        <f t="shared" si="8"/>
        <v>0</v>
      </c>
      <c r="N4" s="93" t="str">
        <f t="shared" si="8"/>
        <v>0</v>
      </c>
      <c r="O4" s="158" t="str">
        <f t="shared" si="8"/>
        <v>0</v>
      </c>
      <c r="P4" s="168">
        <f t="shared" ref="P4:P5" si="9">G4</f>
        <v>8</v>
      </c>
      <c r="Q4" s="94" t="str">
        <f t="shared" ref="Q4:W5" si="10">MID($I4,Q$1,1)</f>
        <v>1</v>
      </c>
      <c r="R4" s="93" t="str">
        <f t="shared" si="10"/>
        <v>0</v>
      </c>
      <c r="S4" s="93" t="str">
        <f t="shared" si="10"/>
        <v>0</v>
      </c>
      <c r="T4" s="93" t="str">
        <f t="shared" si="10"/>
        <v>0</v>
      </c>
      <c r="U4" s="93" t="str">
        <f t="shared" si="10"/>
        <v>1</v>
      </c>
      <c r="V4" s="93" t="str">
        <f t="shared" si="10"/>
        <v>1</v>
      </c>
      <c r="W4" s="158" t="str">
        <f t="shared" si="10"/>
        <v>0</v>
      </c>
      <c r="Y4" s="94">
        <v>4</v>
      </c>
      <c r="Z4" s="93" t="str">
        <f t="shared" ref="Z4:Z5" si="11">DEC2BIN(Y4,4)</f>
        <v>0100</v>
      </c>
      <c r="AA4" s="158" t="str">
        <f>VLOOKUP(Z4,табл2,3,0)</f>
        <v>0100011</v>
      </c>
      <c r="AC4" s="128">
        <f t="shared" ref="AC4:AC5" si="12">Y4</f>
        <v>4</v>
      </c>
      <c r="AD4" s="118" t="str">
        <f>MID($Z4,AD$1,1)</f>
        <v>0</v>
      </c>
      <c r="AE4" s="118" t="str">
        <f t="shared" si="2"/>
        <v>1</v>
      </c>
      <c r="AF4" s="118" t="str">
        <f t="shared" si="2"/>
        <v>0</v>
      </c>
      <c r="AG4" s="118" t="str">
        <f t="shared" si="2"/>
        <v>0</v>
      </c>
      <c r="AH4" s="129">
        <f t="shared" ref="AH4:AH5" si="13">Y4</f>
        <v>4</v>
      </c>
      <c r="AI4" s="118" t="str">
        <f t="shared" ref="AI4:AO5" si="14">MID($AA4,AI$1,1)</f>
        <v>0</v>
      </c>
      <c r="AJ4" s="117" t="str">
        <f t="shared" si="14"/>
        <v>1</v>
      </c>
      <c r="AK4" s="117" t="str">
        <f t="shared" si="14"/>
        <v>0</v>
      </c>
      <c r="AL4" s="117" t="str">
        <f t="shared" si="14"/>
        <v>0</v>
      </c>
      <c r="AM4" s="117" t="str">
        <f t="shared" si="14"/>
        <v>0</v>
      </c>
      <c r="AN4" s="117" t="str">
        <f t="shared" si="14"/>
        <v>1</v>
      </c>
      <c r="AO4" s="119" t="str">
        <f t="shared" si="14"/>
        <v>1</v>
      </c>
      <c r="AQ4" s="94">
        <v>5</v>
      </c>
      <c r="AR4" s="93" t="str">
        <f>DEC2BIN(AQ4,4)</f>
        <v>0101</v>
      </c>
      <c r="AS4" s="158" t="str">
        <f>VLOOKUP(AR4,табл2,3,0)</f>
        <v>0101110</v>
      </c>
      <c r="AU4" s="163" t="str">
        <f>MID($AR4,AU$1,1)</f>
        <v>0</v>
      </c>
      <c r="AV4" s="164" t="str">
        <f t="shared" ref="AV4:AX4" si="15">MID($AR4,AV$1,1)</f>
        <v>1</v>
      </c>
      <c r="AW4" s="164" t="str">
        <f t="shared" si="15"/>
        <v>0</v>
      </c>
      <c r="AX4" s="165" t="str">
        <f t="shared" si="15"/>
        <v>1</v>
      </c>
      <c r="AZ4" s="163" t="str">
        <f>MID($AS4,AZ$1,1)</f>
        <v>0</v>
      </c>
      <c r="BA4" s="164" t="str">
        <f t="shared" ref="BA4:BF4" si="16">MID($AS4,BA$1,1)</f>
        <v>1</v>
      </c>
      <c r="BB4" s="164" t="str">
        <f t="shared" si="16"/>
        <v>0</v>
      </c>
      <c r="BC4" s="164" t="str">
        <f t="shared" si="16"/>
        <v>1</v>
      </c>
      <c r="BD4" s="164" t="str">
        <f t="shared" si="16"/>
        <v>1</v>
      </c>
      <c r="BE4" s="164" t="str">
        <f t="shared" si="16"/>
        <v>1</v>
      </c>
      <c r="BF4" s="165" t="str">
        <f t="shared" si="16"/>
        <v>0</v>
      </c>
      <c r="BH4" s="118">
        <v>8</v>
      </c>
      <c r="BI4" s="117" t="str">
        <f>DEC2BIN(BH4,4)</f>
        <v>1000</v>
      </c>
      <c r="BJ4" s="119" t="str">
        <f>VLOOKUP(BI4,табл2,3,0)</f>
        <v>1000110</v>
      </c>
      <c r="BL4" s="121" t="str">
        <f>MID($BI4,BL$1,1)</f>
        <v>1</v>
      </c>
      <c r="BM4" s="122" t="str">
        <f t="shared" ref="BM4:BO7" si="17">MID($BI4,BM$1,1)</f>
        <v>0</v>
      </c>
      <c r="BN4" s="122" t="str">
        <f t="shared" si="17"/>
        <v>0</v>
      </c>
      <c r="BO4" s="123" t="str">
        <f t="shared" si="17"/>
        <v>0</v>
      </c>
      <c r="BQ4" s="121" t="str">
        <f>MID($BJ4,BQ$1,1)</f>
        <v>1</v>
      </c>
      <c r="BR4" s="122" t="str">
        <f t="shared" ref="BR4:BW7" si="18">MID($BJ4,BR$1,1)</f>
        <v>0</v>
      </c>
      <c r="BS4" s="122" t="str">
        <f t="shared" si="18"/>
        <v>0</v>
      </c>
      <c r="BT4" s="122" t="str">
        <f t="shared" si="18"/>
        <v>0</v>
      </c>
      <c r="BU4" s="122" t="str">
        <f t="shared" si="18"/>
        <v>1</v>
      </c>
      <c r="BV4" s="122" t="str">
        <f t="shared" si="18"/>
        <v>1</v>
      </c>
      <c r="BW4" s="123" t="str">
        <f t="shared" si="18"/>
        <v>0</v>
      </c>
    </row>
    <row r="5" spans="1:75" ht="18.600000000000001" thickBot="1" x14ac:dyDescent="0.4">
      <c r="A5" s="151">
        <v>3</v>
      </c>
      <c r="B5" s="93" t="str">
        <f t="shared" si="4"/>
        <v>0010</v>
      </c>
      <c r="C5" s="151">
        <v>2</v>
      </c>
      <c r="D5" s="93" t="str">
        <f t="shared" si="5"/>
        <v>0010111</v>
      </c>
      <c r="E5" s="93">
        <v>23</v>
      </c>
      <c r="G5" s="159">
        <v>6</v>
      </c>
      <c r="H5" s="160" t="str">
        <f t="shared" si="6"/>
        <v>0110</v>
      </c>
      <c r="I5" s="161" t="str">
        <f>VLOOKUP(H5,табл2,3,0)</f>
        <v>0110100</v>
      </c>
      <c r="K5" s="169">
        <f t="shared" si="7"/>
        <v>6</v>
      </c>
      <c r="L5" s="159" t="str">
        <f t="shared" si="8"/>
        <v>0</v>
      </c>
      <c r="M5" s="160" t="str">
        <f t="shared" si="8"/>
        <v>1</v>
      </c>
      <c r="N5" s="160" t="str">
        <f t="shared" si="8"/>
        <v>1</v>
      </c>
      <c r="O5" s="161" t="str">
        <f t="shared" si="8"/>
        <v>0</v>
      </c>
      <c r="P5" s="168">
        <f t="shared" si="9"/>
        <v>6</v>
      </c>
      <c r="Q5" s="159" t="str">
        <f t="shared" si="10"/>
        <v>0</v>
      </c>
      <c r="R5" s="160" t="str">
        <f t="shared" si="10"/>
        <v>1</v>
      </c>
      <c r="S5" s="160" t="str">
        <f t="shared" si="10"/>
        <v>1</v>
      </c>
      <c r="T5" s="160" t="str">
        <f t="shared" si="10"/>
        <v>0</v>
      </c>
      <c r="U5" s="160" t="str">
        <f t="shared" si="10"/>
        <v>1</v>
      </c>
      <c r="V5" s="160" t="str">
        <f t="shared" si="10"/>
        <v>0</v>
      </c>
      <c r="W5" s="161" t="str">
        <f t="shared" si="10"/>
        <v>0</v>
      </c>
      <c r="Y5" s="159">
        <v>8</v>
      </c>
      <c r="Z5" s="160" t="str">
        <f t="shared" si="11"/>
        <v>1000</v>
      </c>
      <c r="AA5" s="161" t="str">
        <f>VLOOKUP(Z5,табл2,3,0)</f>
        <v>1000110</v>
      </c>
      <c r="AC5" s="133">
        <f t="shared" si="12"/>
        <v>8</v>
      </c>
      <c r="AD5" s="130" t="str">
        <f>MID($Z5,AD$1,1)</f>
        <v>1</v>
      </c>
      <c r="AE5" s="130" t="str">
        <f t="shared" si="2"/>
        <v>0</v>
      </c>
      <c r="AF5" s="130" t="str">
        <f t="shared" si="2"/>
        <v>0</v>
      </c>
      <c r="AG5" s="130" t="str">
        <f t="shared" si="2"/>
        <v>0</v>
      </c>
      <c r="AH5" s="129">
        <f t="shared" si="13"/>
        <v>8</v>
      </c>
      <c r="AI5" s="130" t="str">
        <f t="shared" si="14"/>
        <v>1</v>
      </c>
      <c r="AJ5" s="131" t="str">
        <f t="shared" si="14"/>
        <v>0</v>
      </c>
      <c r="AK5" s="131" t="str">
        <f t="shared" si="14"/>
        <v>0</v>
      </c>
      <c r="AL5" s="131" t="str">
        <f t="shared" si="14"/>
        <v>0</v>
      </c>
      <c r="AM5" s="131" t="str">
        <f t="shared" si="14"/>
        <v>1</v>
      </c>
      <c r="AN5" s="131" t="str">
        <f t="shared" si="14"/>
        <v>1</v>
      </c>
      <c r="AO5" s="132" t="str">
        <f t="shared" si="14"/>
        <v>0</v>
      </c>
      <c r="AQ5" s="94">
        <v>8</v>
      </c>
      <c r="AR5" s="93" t="str">
        <f t="shared" ref="AR5:AR7" si="19">DEC2BIN(AQ5,4)</f>
        <v>1000</v>
      </c>
      <c r="AS5" s="158" t="str">
        <f>VLOOKUP(AR5,табл2,3,0)</f>
        <v>1000110</v>
      </c>
      <c r="AU5" s="94" t="str">
        <f t="shared" ref="AU5:AX7" si="20">MID($AR5,AU$1,1)</f>
        <v>1</v>
      </c>
      <c r="AV5" s="93" t="str">
        <f t="shared" si="20"/>
        <v>0</v>
      </c>
      <c r="AW5" s="93" t="str">
        <f t="shared" si="20"/>
        <v>0</v>
      </c>
      <c r="AX5" s="158" t="str">
        <f t="shared" si="20"/>
        <v>0</v>
      </c>
      <c r="AZ5" s="94" t="str">
        <f t="shared" ref="AZ5:BF7" si="21">MID($AS5,AZ$1,1)</f>
        <v>1</v>
      </c>
      <c r="BA5" s="93" t="str">
        <f t="shared" si="21"/>
        <v>0</v>
      </c>
      <c r="BB5" s="93" t="str">
        <f t="shared" si="21"/>
        <v>0</v>
      </c>
      <c r="BC5" s="93" t="str">
        <f t="shared" si="21"/>
        <v>0</v>
      </c>
      <c r="BD5" s="93" t="str">
        <f t="shared" si="21"/>
        <v>1</v>
      </c>
      <c r="BE5" s="93" t="str">
        <f t="shared" si="21"/>
        <v>1</v>
      </c>
      <c r="BF5" s="158" t="str">
        <f t="shared" si="21"/>
        <v>0</v>
      </c>
      <c r="BH5" s="118">
        <v>4</v>
      </c>
      <c r="BI5" s="117" t="str">
        <f t="shared" ref="BI5:BI7" si="22">DEC2BIN(BH5,4)</f>
        <v>0100</v>
      </c>
      <c r="BJ5" s="119" t="str">
        <f>VLOOKUP(BI5,табл2,3,0)</f>
        <v>0100011</v>
      </c>
      <c r="BL5" s="118" t="str">
        <f>MID($BI5,BL$1,1)</f>
        <v>0</v>
      </c>
      <c r="BM5" s="117" t="str">
        <f t="shared" si="17"/>
        <v>1</v>
      </c>
      <c r="BN5" s="117" t="str">
        <f t="shared" si="17"/>
        <v>0</v>
      </c>
      <c r="BO5" s="119" t="str">
        <f t="shared" si="17"/>
        <v>0</v>
      </c>
      <c r="BQ5" s="118" t="str">
        <f>MID($BJ5,BQ$1,1)</f>
        <v>0</v>
      </c>
      <c r="BR5" s="117" t="str">
        <f t="shared" si="18"/>
        <v>1</v>
      </c>
      <c r="BS5" s="117" t="str">
        <f t="shared" si="18"/>
        <v>0</v>
      </c>
      <c r="BT5" s="117" t="str">
        <f t="shared" si="18"/>
        <v>0</v>
      </c>
      <c r="BU5" s="117" t="str">
        <f t="shared" si="18"/>
        <v>0</v>
      </c>
      <c r="BV5" s="117" t="str">
        <f t="shared" si="18"/>
        <v>1</v>
      </c>
      <c r="BW5" s="119" t="str">
        <f t="shared" si="18"/>
        <v>1</v>
      </c>
    </row>
    <row r="6" spans="1:75" x14ac:dyDescent="0.35">
      <c r="A6" s="151">
        <v>4</v>
      </c>
      <c r="B6" s="93" t="str">
        <f t="shared" si="4"/>
        <v>0011</v>
      </c>
      <c r="C6" s="151">
        <v>3</v>
      </c>
      <c r="D6" s="93" t="str">
        <f t="shared" si="5"/>
        <v>0011010</v>
      </c>
      <c r="E6" s="93">
        <v>26</v>
      </c>
      <c r="K6" s="134" t="s">
        <v>120</v>
      </c>
      <c r="L6" s="121">
        <f>MOD(L3+L4+L5,2)</f>
        <v>1</v>
      </c>
      <c r="M6" s="122">
        <f t="shared" ref="M6:O6" si="23">MOD(M3+M4+M5,2)</f>
        <v>0</v>
      </c>
      <c r="N6" s="122">
        <f t="shared" si="23"/>
        <v>1</v>
      </c>
      <c r="O6" s="123">
        <f t="shared" si="23"/>
        <v>1</v>
      </c>
      <c r="P6" s="135" t="s">
        <v>120</v>
      </c>
      <c r="Q6" s="121">
        <f>MOD(Q3+Q4+Q5,2)</f>
        <v>1</v>
      </c>
      <c r="R6" s="122">
        <f t="shared" ref="R6:W6" si="24">MOD(R3+R4+R5,2)</f>
        <v>0</v>
      </c>
      <c r="S6" s="122">
        <f t="shared" si="24"/>
        <v>1</v>
      </c>
      <c r="T6" s="122">
        <f t="shared" si="24"/>
        <v>1</v>
      </c>
      <c r="U6" s="122">
        <f t="shared" si="24"/>
        <v>1</v>
      </c>
      <c r="V6" s="122">
        <f t="shared" si="24"/>
        <v>0</v>
      </c>
      <c r="W6" s="123">
        <f t="shared" si="24"/>
        <v>0</v>
      </c>
      <c r="AC6" s="134" t="s">
        <v>120</v>
      </c>
      <c r="AD6" s="121">
        <f>MOD(AD3+AD4+AD5,2)</f>
        <v>1</v>
      </c>
      <c r="AE6" s="122">
        <f t="shared" ref="AE6:AG6" si="25">MOD(AE3+AE4+AE5,2)</f>
        <v>1</v>
      </c>
      <c r="AF6" s="122">
        <f t="shared" si="25"/>
        <v>1</v>
      </c>
      <c r="AG6" s="123">
        <f t="shared" si="25"/>
        <v>0</v>
      </c>
      <c r="AH6" s="134" t="s">
        <v>120</v>
      </c>
      <c r="AI6" s="136">
        <f>MOD(AI3+AI4+AI5,2)</f>
        <v>1</v>
      </c>
      <c r="AJ6" s="137">
        <f t="shared" ref="AJ6:AO6" si="26">MOD(AJ3+AJ4+AJ5,2)</f>
        <v>1</v>
      </c>
      <c r="AK6" s="137">
        <f t="shared" si="26"/>
        <v>1</v>
      </c>
      <c r="AL6" s="137">
        <f t="shared" si="26"/>
        <v>0</v>
      </c>
      <c r="AM6" s="137">
        <f t="shared" si="26"/>
        <v>0</v>
      </c>
      <c r="AN6" s="137">
        <f t="shared" si="26"/>
        <v>1</v>
      </c>
      <c r="AO6" s="138">
        <f t="shared" si="26"/>
        <v>0</v>
      </c>
      <c r="AQ6" s="94">
        <v>6</v>
      </c>
      <c r="AR6" s="93" t="str">
        <f t="shared" si="19"/>
        <v>0110</v>
      </c>
      <c r="AS6" s="158" t="str">
        <f>VLOOKUP(AR6,табл2,3,0)</f>
        <v>0110100</v>
      </c>
      <c r="AU6" s="94" t="str">
        <f t="shared" si="20"/>
        <v>0</v>
      </c>
      <c r="AV6" s="93" t="str">
        <f t="shared" si="20"/>
        <v>1</v>
      </c>
      <c r="AW6" s="93" t="str">
        <f t="shared" si="20"/>
        <v>1</v>
      </c>
      <c r="AX6" s="158" t="str">
        <f t="shared" si="20"/>
        <v>0</v>
      </c>
      <c r="AZ6" s="94" t="str">
        <f t="shared" si="21"/>
        <v>0</v>
      </c>
      <c r="BA6" s="93" t="str">
        <f t="shared" si="21"/>
        <v>1</v>
      </c>
      <c r="BB6" s="93" t="str">
        <f t="shared" si="21"/>
        <v>1</v>
      </c>
      <c r="BC6" s="93" t="str">
        <f t="shared" si="21"/>
        <v>0</v>
      </c>
      <c r="BD6" s="93" t="str">
        <f t="shared" si="21"/>
        <v>1</v>
      </c>
      <c r="BE6" s="93" t="str">
        <f t="shared" si="21"/>
        <v>0</v>
      </c>
      <c r="BF6" s="158" t="str">
        <f t="shared" si="21"/>
        <v>0</v>
      </c>
      <c r="BH6" s="118">
        <v>2</v>
      </c>
      <c r="BI6" s="117" t="str">
        <f t="shared" si="22"/>
        <v>0010</v>
      </c>
      <c r="BJ6" s="119" t="str">
        <f>VLOOKUP(BI6,табл2,3,0)</f>
        <v>0010111</v>
      </c>
      <c r="BL6" s="118" t="str">
        <f>MID($BI6,BL$1,1)</f>
        <v>0</v>
      </c>
      <c r="BM6" s="117" t="str">
        <f t="shared" si="17"/>
        <v>0</v>
      </c>
      <c r="BN6" s="117" t="str">
        <f t="shared" si="17"/>
        <v>1</v>
      </c>
      <c r="BO6" s="119" t="str">
        <f t="shared" si="17"/>
        <v>0</v>
      </c>
      <c r="BQ6" s="118" t="str">
        <f>MID($BJ6,BQ$1,1)</f>
        <v>0</v>
      </c>
      <c r="BR6" s="117" t="str">
        <f t="shared" si="18"/>
        <v>0</v>
      </c>
      <c r="BS6" s="117" t="str">
        <f t="shared" si="18"/>
        <v>1</v>
      </c>
      <c r="BT6" s="117" t="str">
        <f t="shared" si="18"/>
        <v>0</v>
      </c>
      <c r="BU6" s="117" t="str">
        <f t="shared" si="18"/>
        <v>1</v>
      </c>
      <c r="BV6" s="117" t="str">
        <f t="shared" si="18"/>
        <v>1</v>
      </c>
      <c r="BW6" s="119" t="str">
        <f t="shared" si="18"/>
        <v>1</v>
      </c>
    </row>
    <row r="7" spans="1:75" ht="18.600000000000001" thickBot="1" x14ac:dyDescent="0.4">
      <c r="A7" s="151">
        <v>5</v>
      </c>
      <c r="B7" s="93" t="str">
        <f t="shared" si="4"/>
        <v>0100</v>
      </c>
      <c r="C7" s="151">
        <v>4</v>
      </c>
      <c r="D7" s="93" t="str">
        <f t="shared" si="5"/>
        <v>0100011</v>
      </c>
      <c r="E7" s="93">
        <v>35</v>
      </c>
      <c r="K7" s="139" t="s">
        <v>69</v>
      </c>
      <c r="L7" s="240" t="str">
        <f>L6&amp;M6&amp;N6&amp;O6</f>
        <v>1011</v>
      </c>
      <c r="M7" s="229"/>
      <c r="N7" s="229"/>
      <c r="O7" s="236"/>
      <c r="P7" s="142" t="s">
        <v>69</v>
      </c>
      <c r="Q7" s="240" t="str">
        <f>Q6&amp;R6&amp;S6&amp;T6&amp;"+"&amp;U6&amp;V6&amp;W6</f>
        <v>1011+100</v>
      </c>
      <c r="R7" s="229"/>
      <c r="S7" s="229"/>
      <c r="T7" s="229"/>
      <c r="U7" s="229"/>
      <c r="V7" s="229"/>
      <c r="W7" s="236"/>
      <c r="AC7" s="139" t="s">
        <v>69</v>
      </c>
      <c r="AD7" s="240" t="str">
        <f>AD6&amp;AE6&amp;AF6&amp;AG6</f>
        <v>1110</v>
      </c>
      <c r="AE7" s="229"/>
      <c r="AF7" s="229"/>
      <c r="AG7" s="236"/>
      <c r="AH7" s="139" t="s">
        <v>69</v>
      </c>
      <c r="AI7" s="240" t="str">
        <f>AI6&amp;AJ6&amp;AK6&amp;AL6&amp;"+"&amp;AM6&amp;AN6&amp;AO6</f>
        <v>1110+010</v>
      </c>
      <c r="AJ7" s="229"/>
      <c r="AK7" s="229"/>
      <c r="AL7" s="229"/>
      <c r="AM7" s="229"/>
      <c r="AN7" s="229"/>
      <c r="AO7" s="236"/>
      <c r="AQ7" s="159">
        <v>3</v>
      </c>
      <c r="AR7" s="160" t="str">
        <f t="shared" si="19"/>
        <v>0011</v>
      </c>
      <c r="AS7" s="161" t="str">
        <f>VLOOKUP(AR7,табл2,3,0)</f>
        <v>0011010</v>
      </c>
      <c r="AU7" s="159" t="str">
        <f t="shared" si="20"/>
        <v>0</v>
      </c>
      <c r="AV7" s="160" t="str">
        <f t="shared" si="20"/>
        <v>0</v>
      </c>
      <c r="AW7" s="160" t="str">
        <f t="shared" si="20"/>
        <v>1</v>
      </c>
      <c r="AX7" s="161" t="str">
        <f t="shared" si="20"/>
        <v>1</v>
      </c>
      <c r="AZ7" s="159" t="str">
        <f t="shared" si="21"/>
        <v>0</v>
      </c>
      <c r="BA7" s="160" t="str">
        <f t="shared" si="21"/>
        <v>0</v>
      </c>
      <c r="BB7" s="160" t="str">
        <f t="shared" si="21"/>
        <v>1</v>
      </c>
      <c r="BC7" s="160" t="str">
        <f t="shared" si="21"/>
        <v>1</v>
      </c>
      <c r="BD7" s="160" t="str">
        <f t="shared" si="21"/>
        <v>0</v>
      </c>
      <c r="BE7" s="160" t="str">
        <f t="shared" si="21"/>
        <v>1</v>
      </c>
      <c r="BF7" s="161" t="str">
        <f t="shared" si="21"/>
        <v>0</v>
      </c>
      <c r="BH7" s="130">
        <v>1</v>
      </c>
      <c r="BI7" s="131" t="str">
        <f t="shared" si="22"/>
        <v>0001</v>
      </c>
      <c r="BJ7" s="132" t="str">
        <f>VLOOKUP(BI7,табл2,3,0)</f>
        <v>0001101</v>
      </c>
      <c r="BL7" s="130" t="str">
        <f>MID($BI7,BL$1,1)</f>
        <v>0</v>
      </c>
      <c r="BM7" s="131" t="str">
        <f t="shared" si="17"/>
        <v>0</v>
      </c>
      <c r="BN7" s="131" t="str">
        <f t="shared" si="17"/>
        <v>0</v>
      </c>
      <c r="BO7" s="132" t="str">
        <f t="shared" si="17"/>
        <v>1</v>
      </c>
      <c r="BQ7" s="130" t="str">
        <f>MID($BJ7,BQ$1,1)</f>
        <v>0</v>
      </c>
      <c r="BR7" s="131" t="str">
        <f t="shared" si="18"/>
        <v>0</v>
      </c>
      <c r="BS7" s="131" t="str">
        <f t="shared" si="18"/>
        <v>0</v>
      </c>
      <c r="BT7" s="131" t="str">
        <f t="shared" si="18"/>
        <v>1</v>
      </c>
      <c r="BU7" s="131" t="str">
        <f t="shared" si="18"/>
        <v>1</v>
      </c>
      <c r="BV7" s="131" t="str">
        <f t="shared" si="18"/>
        <v>0</v>
      </c>
      <c r="BW7" s="132" t="str">
        <f t="shared" si="18"/>
        <v>1</v>
      </c>
    </row>
    <row r="8" spans="1:75" ht="18.600000000000001" thickBot="1" x14ac:dyDescent="0.4">
      <c r="A8" s="151">
        <v>6</v>
      </c>
      <c r="B8" s="93" t="str">
        <f t="shared" si="4"/>
        <v>0101</v>
      </c>
      <c r="C8" s="151">
        <v>5</v>
      </c>
      <c r="D8" s="93" t="str">
        <f t="shared" si="5"/>
        <v>0101110</v>
      </c>
      <c r="E8" s="93">
        <v>46</v>
      </c>
      <c r="K8" s="143" t="s">
        <v>68</v>
      </c>
      <c r="L8" s="241">
        <f>BIN2DEC(L7)</f>
        <v>11</v>
      </c>
      <c r="M8" s="237"/>
      <c r="N8" s="237"/>
      <c r="O8" s="239"/>
      <c r="P8" s="146" t="s">
        <v>68</v>
      </c>
      <c r="Q8" s="241">
        <f>L8</f>
        <v>11</v>
      </c>
      <c r="R8" s="237"/>
      <c r="S8" s="237"/>
      <c r="T8" s="237"/>
      <c r="U8" s="237"/>
      <c r="V8" s="237"/>
      <c r="W8" s="239"/>
      <c r="AC8" s="143" t="s">
        <v>68</v>
      </c>
      <c r="AD8" s="241">
        <f>BIN2DEC(AD7)</f>
        <v>14</v>
      </c>
      <c r="AE8" s="237"/>
      <c r="AF8" s="237"/>
      <c r="AG8" s="239"/>
      <c r="AH8" s="143" t="s">
        <v>68</v>
      </c>
      <c r="AI8" s="241">
        <f>AD8</f>
        <v>14</v>
      </c>
      <c r="AJ8" s="237"/>
      <c r="AK8" s="237"/>
      <c r="AL8" s="237"/>
      <c r="AM8" s="237"/>
      <c r="AN8" s="237"/>
      <c r="AO8" s="239"/>
      <c r="AZ8" s="58"/>
      <c r="BA8" s="58"/>
      <c r="BB8" s="58"/>
      <c r="BC8" s="58"/>
      <c r="BD8" s="58"/>
      <c r="BE8" s="58"/>
      <c r="BF8" s="58"/>
    </row>
    <row r="9" spans="1:75" ht="18.600000000000001" thickBot="1" x14ac:dyDescent="0.4">
      <c r="A9" s="151">
        <v>7</v>
      </c>
      <c r="B9" s="93" t="str">
        <f t="shared" si="4"/>
        <v>0110</v>
      </c>
      <c r="C9" s="151">
        <v>6</v>
      </c>
      <c r="D9" s="93" t="str">
        <f t="shared" si="5"/>
        <v>0110100</v>
      </c>
      <c r="E9" s="93">
        <v>52</v>
      </c>
    </row>
    <row r="10" spans="1:75" ht="18.600000000000001" thickBot="1" x14ac:dyDescent="0.4">
      <c r="A10" s="151">
        <v>8</v>
      </c>
      <c r="B10" s="93" t="str">
        <f t="shared" si="4"/>
        <v>0111</v>
      </c>
      <c r="C10" s="151">
        <v>7</v>
      </c>
      <c r="D10" s="93" t="str">
        <f t="shared" si="5"/>
        <v>0111001</v>
      </c>
      <c r="E10" s="93">
        <v>57</v>
      </c>
      <c r="G10" s="155" t="s">
        <v>68</v>
      </c>
      <c r="H10" s="156" t="s">
        <v>113</v>
      </c>
      <c r="I10" s="157" t="s">
        <v>114</v>
      </c>
      <c r="K10" s="242" t="s">
        <v>115</v>
      </c>
      <c r="L10" s="243"/>
      <c r="M10" s="243"/>
      <c r="N10" s="243"/>
      <c r="O10" s="244"/>
      <c r="P10" s="245" t="s">
        <v>116</v>
      </c>
      <c r="Q10" s="246"/>
      <c r="R10" s="246"/>
      <c r="S10" s="246"/>
      <c r="T10" s="246"/>
      <c r="U10" s="246"/>
      <c r="V10" s="246"/>
      <c r="W10" s="247"/>
      <c r="Y10" s="152" t="s">
        <v>68</v>
      </c>
      <c r="Z10" s="153" t="s">
        <v>113</v>
      </c>
      <c r="AA10" s="154" t="s">
        <v>114</v>
      </c>
      <c r="AC10" s="242" t="s">
        <v>115</v>
      </c>
      <c r="AD10" s="243"/>
      <c r="AE10" s="243"/>
      <c r="AF10" s="243"/>
      <c r="AG10" s="244"/>
      <c r="AH10" s="245" t="s">
        <v>116</v>
      </c>
      <c r="AI10" s="243"/>
      <c r="AJ10" s="243"/>
      <c r="AK10" s="243"/>
      <c r="AL10" s="243"/>
      <c r="AM10" s="243"/>
      <c r="AN10" s="243"/>
      <c r="AO10" s="244"/>
      <c r="AT10" s="121">
        <f>AQ4</f>
        <v>5</v>
      </c>
      <c r="AU10" s="122" t="str">
        <f>AU4</f>
        <v>0</v>
      </c>
      <c r="AV10" s="122" t="str">
        <f t="shared" ref="AV10:AX11" si="27">AV4</f>
        <v>1</v>
      </c>
      <c r="AW10" s="122" t="str">
        <f t="shared" si="27"/>
        <v>0</v>
      </c>
      <c r="AX10" s="147" t="str">
        <f t="shared" si="27"/>
        <v>1</v>
      </c>
      <c r="AY10" s="121">
        <f>AT10</f>
        <v>5</v>
      </c>
      <c r="AZ10" s="122" t="str">
        <f>AZ4</f>
        <v>0</v>
      </c>
      <c r="BA10" s="122" t="str">
        <f t="shared" ref="BA10:BF11" si="28">BA4</f>
        <v>1</v>
      </c>
      <c r="BB10" s="122" t="str">
        <f t="shared" si="28"/>
        <v>0</v>
      </c>
      <c r="BC10" s="122" t="str">
        <f t="shared" si="28"/>
        <v>1</v>
      </c>
      <c r="BD10" s="122" t="str">
        <f t="shared" si="28"/>
        <v>1</v>
      </c>
      <c r="BE10" s="122" t="str">
        <f t="shared" si="28"/>
        <v>1</v>
      </c>
      <c r="BF10" s="123" t="str">
        <f t="shared" si="28"/>
        <v>0</v>
      </c>
      <c r="BK10" s="121">
        <f>BH4</f>
        <v>8</v>
      </c>
      <c r="BL10" s="122" t="str">
        <f>BL4</f>
        <v>1</v>
      </c>
      <c r="BM10" s="122" t="str">
        <f t="shared" ref="BM10:BO11" si="29">BM4</f>
        <v>0</v>
      </c>
      <c r="BN10" s="122" t="str">
        <f t="shared" si="29"/>
        <v>0</v>
      </c>
      <c r="BO10" s="147" t="str">
        <f t="shared" si="29"/>
        <v>0</v>
      </c>
      <c r="BP10" s="121">
        <f>BK10</f>
        <v>8</v>
      </c>
      <c r="BQ10" s="122" t="str">
        <f>BQ4</f>
        <v>1</v>
      </c>
      <c r="BR10" s="122" t="str">
        <f t="shared" ref="BR10:BW11" si="30">BR4</f>
        <v>0</v>
      </c>
      <c r="BS10" s="122" t="str">
        <f t="shared" si="30"/>
        <v>0</v>
      </c>
      <c r="BT10" s="122" t="str">
        <f t="shared" si="30"/>
        <v>0</v>
      </c>
      <c r="BU10" s="122" t="str">
        <f t="shared" si="30"/>
        <v>1</v>
      </c>
      <c r="BV10" s="122" t="str">
        <f t="shared" si="30"/>
        <v>1</v>
      </c>
      <c r="BW10" s="123" t="str">
        <f t="shared" si="30"/>
        <v>0</v>
      </c>
    </row>
    <row r="11" spans="1:75" ht="18.600000000000001" thickBot="1" x14ac:dyDescent="0.4">
      <c r="A11" s="151">
        <v>9</v>
      </c>
      <c r="B11" s="93" t="str">
        <f t="shared" si="4"/>
        <v>1000</v>
      </c>
      <c r="C11" s="151">
        <v>8</v>
      </c>
      <c r="D11" s="93" t="str">
        <f t="shared" si="5"/>
        <v>1000110</v>
      </c>
      <c r="E11" s="93">
        <v>70</v>
      </c>
      <c r="G11" s="94">
        <v>5</v>
      </c>
      <c r="H11" s="93" t="str">
        <f>DEC2BIN(G11,4)</f>
        <v>0101</v>
      </c>
      <c r="I11" s="158" t="str">
        <f>VLOOKUP(H11,табл2,3,0)</f>
        <v>0101110</v>
      </c>
      <c r="K11" s="162">
        <f>G11</f>
        <v>5</v>
      </c>
      <c r="L11" s="163" t="str">
        <f>MID($H11,L$1,1)</f>
        <v>0</v>
      </c>
      <c r="M11" s="164" t="str">
        <f t="shared" ref="M11:O11" si="31">MID($H11,M$1,1)</f>
        <v>1</v>
      </c>
      <c r="N11" s="164" t="str">
        <f t="shared" si="31"/>
        <v>0</v>
      </c>
      <c r="O11" s="165" t="str">
        <f t="shared" si="31"/>
        <v>1</v>
      </c>
      <c r="P11" s="166">
        <f>G11</f>
        <v>5</v>
      </c>
      <c r="Q11" s="163" t="str">
        <f>MID($I11,Q$1,1)</f>
        <v>0</v>
      </c>
      <c r="R11" s="164" t="str">
        <f t="shared" ref="R11:W12" si="32">MID($I11,R$1,1)</f>
        <v>1</v>
      </c>
      <c r="S11" s="164" t="str">
        <f t="shared" si="32"/>
        <v>0</v>
      </c>
      <c r="T11" s="164" t="str">
        <f t="shared" si="32"/>
        <v>1</v>
      </c>
      <c r="U11" s="164" t="str">
        <f t="shared" si="32"/>
        <v>1</v>
      </c>
      <c r="V11" s="164" t="str">
        <f t="shared" si="32"/>
        <v>1</v>
      </c>
      <c r="W11" s="165" t="str">
        <f t="shared" si="32"/>
        <v>0</v>
      </c>
      <c r="Y11" s="94">
        <v>2</v>
      </c>
      <c r="Z11" s="93" t="str">
        <f>DEC2BIN(Y11,4)</f>
        <v>0010</v>
      </c>
      <c r="AA11" s="158" t="str">
        <f>VLOOKUP(Z11,табл2,3,0)</f>
        <v>0010111</v>
      </c>
      <c r="AC11" s="129">
        <f>Y11</f>
        <v>2</v>
      </c>
      <c r="AD11" s="121" t="str">
        <f>MID($Z11,AD$1,1)</f>
        <v>0</v>
      </c>
      <c r="AE11" s="122" t="str">
        <f t="shared" ref="AE11:AG12" si="33">MID($Z11,AE$1,1)</f>
        <v>0</v>
      </c>
      <c r="AF11" s="122" t="str">
        <f t="shared" si="33"/>
        <v>1</v>
      </c>
      <c r="AG11" s="123" t="str">
        <f t="shared" si="33"/>
        <v>0</v>
      </c>
      <c r="AH11" s="148">
        <f>Y11</f>
        <v>2</v>
      </c>
      <c r="AI11" s="121" t="str">
        <f>MID($AA11,AI$1,1)</f>
        <v>0</v>
      </c>
      <c r="AJ11" s="122" t="str">
        <f t="shared" ref="AJ11:AO12" si="34">MID($AA11,AJ$1,1)</f>
        <v>0</v>
      </c>
      <c r="AK11" s="122" t="str">
        <f t="shared" si="34"/>
        <v>1</v>
      </c>
      <c r="AL11" s="122" t="str">
        <f t="shared" si="34"/>
        <v>0</v>
      </c>
      <c r="AM11" s="122" t="str">
        <f t="shared" si="34"/>
        <v>1</v>
      </c>
      <c r="AN11" s="122" t="str">
        <f t="shared" si="34"/>
        <v>1</v>
      </c>
      <c r="AO11" s="123" t="str">
        <f t="shared" si="34"/>
        <v>1</v>
      </c>
      <c r="AT11" s="118">
        <f>AQ5</f>
        <v>8</v>
      </c>
      <c r="AU11" s="117" t="str">
        <f>AU5</f>
        <v>1</v>
      </c>
      <c r="AV11" s="117" t="str">
        <f t="shared" si="27"/>
        <v>0</v>
      </c>
      <c r="AW11" s="117" t="str">
        <f t="shared" si="27"/>
        <v>0</v>
      </c>
      <c r="AX11" s="149" t="str">
        <f t="shared" si="27"/>
        <v>0</v>
      </c>
      <c r="AY11" s="118">
        <f>AT11</f>
        <v>8</v>
      </c>
      <c r="AZ11" s="117" t="str">
        <f>AZ5</f>
        <v>1</v>
      </c>
      <c r="BA11" s="117" t="str">
        <f t="shared" si="28"/>
        <v>0</v>
      </c>
      <c r="BB11" s="117" t="str">
        <f t="shared" si="28"/>
        <v>0</v>
      </c>
      <c r="BC11" s="117" t="str">
        <f t="shared" si="28"/>
        <v>0</v>
      </c>
      <c r="BD11" s="117" t="str">
        <f t="shared" si="28"/>
        <v>1</v>
      </c>
      <c r="BE11" s="117" t="str">
        <f t="shared" si="28"/>
        <v>1</v>
      </c>
      <c r="BF11" s="119" t="str">
        <f t="shared" si="28"/>
        <v>0</v>
      </c>
      <c r="BK11" s="118">
        <f>BH5</f>
        <v>4</v>
      </c>
      <c r="BL11" s="117" t="str">
        <f>BL5</f>
        <v>0</v>
      </c>
      <c r="BM11" s="117" t="str">
        <f t="shared" si="29"/>
        <v>1</v>
      </c>
      <c r="BN11" s="117" t="str">
        <f t="shared" si="29"/>
        <v>0</v>
      </c>
      <c r="BO11" s="149" t="str">
        <f t="shared" si="29"/>
        <v>0</v>
      </c>
      <c r="BP11" s="118">
        <f>BK11</f>
        <v>4</v>
      </c>
      <c r="BQ11" s="117" t="str">
        <f>BQ5</f>
        <v>0</v>
      </c>
      <c r="BR11" s="117" t="str">
        <f t="shared" si="30"/>
        <v>1</v>
      </c>
      <c r="BS11" s="117" t="str">
        <f t="shared" si="30"/>
        <v>0</v>
      </c>
      <c r="BT11" s="117" t="str">
        <f t="shared" si="30"/>
        <v>0</v>
      </c>
      <c r="BU11" s="117" t="str">
        <f t="shared" si="30"/>
        <v>0</v>
      </c>
      <c r="BV11" s="117" t="str">
        <f t="shared" si="30"/>
        <v>1</v>
      </c>
      <c r="BW11" s="119" t="str">
        <f t="shared" si="30"/>
        <v>1</v>
      </c>
    </row>
    <row r="12" spans="1:75" ht="18.600000000000001" thickBot="1" x14ac:dyDescent="0.4">
      <c r="A12" s="151">
        <v>10</v>
      </c>
      <c r="B12" s="93" t="str">
        <f t="shared" si="4"/>
        <v>1001</v>
      </c>
      <c r="C12" s="151">
        <v>9</v>
      </c>
      <c r="D12" s="93" t="str">
        <f t="shared" si="5"/>
        <v>1001011</v>
      </c>
      <c r="E12" s="93">
        <v>75</v>
      </c>
      <c r="G12" s="159">
        <v>8</v>
      </c>
      <c r="H12" s="160" t="str">
        <f t="shared" ref="H12" si="35">DEC2BIN(G12,4)</f>
        <v>1000</v>
      </c>
      <c r="I12" s="161" t="str">
        <f>VLOOKUP(H12,табл2,3,0)</f>
        <v>1000110</v>
      </c>
      <c r="K12" s="167">
        <f t="shared" ref="K12" si="36">G12</f>
        <v>8</v>
      </c>
      <c r="L12" s="94" t="str">
        <f t="shared" ref="L12:O12" si="37">MID($H12,L$1,1)</f>
        <v>1</v>
      </c>
      <c r="M12" s="93" t="str">
        <f t="shared" si="37"/>
        <v>0</v>
      </c>
      <c r="N12" s="93" t="str">
        <f t="shared" si="37"/>
        <v>0</v>
      </c>
      <c r="O12" s="158" t="str">
        <f t="shared" si="37"/>
        <v>0</v>
      </c>
      <c r="P12" s="166">
        <f>G12</f>
        <v>8</v>
      </c>
      <c r="Q12" s="159" t="str">
        <f>MID($I12,Q$1,1)</f>
        <v>1</v>
      </c>
      <c r="R12" s="159" t="str">
        <f t="shared" si="32"/>
        <v>0</v>
      </c>
      <c r="S12" s="159" t="str">
        <f t="shared" si="32"/>
        <v>0</v>
      </c>
      <c r="T12" s="159" t="str">
        <f t="shared" si="32"/>
        <v>0</v>
      </c>
      <c r="U12" s="159" t="str">
        <f t="shared" si="32"/>
        <v>1</v>
      </c>
      <c r="V12" s="159" t="str">
        <f t="shared" si="32"/>
        <v>1</v>
      </c>
      <c r="W12" s="159" t="str">
        <f t="shared" si="32"/>
        <v>0</v>
      </c>
      <c r="Y12" s="159">
        <v>4</v>
      </c>
      <c r="Z12" s="160" t="str">
        <f t="shared" ref="Z12" si="38">DEC2BIN(Y12,4)</f>
        <v>0100</v>
      </c>
      <c r="AA12" s="161" t="str">
        <f>VLOOKUP(Z12,табл2,3,0)</f>
        <v>0100011</v>
      </c>
      <c r="AC12" s="150">
        <f t="shared" ref="AC12" si="39">Y12</f>
        <v>4</v>
      </c>
      <c r="AD12" s="130" t="str">
        <f>MID($Z12,AD$1,1)</f>
        <v>0</v>
      </c>
      <c r="AE12" s="131" t="str">
        <f t="shared" si="33"/>
        <v>1</v>
      </c>
      <c r="AF12" s="131" t="str">
        <f t="shared" si="33"/>
        <v>0</v>
      </c>
      <c r="AG12" s="132" t="str">
        <f t="shared" si="33"/>
        <v>0</v>
      </c>
      <c r="AH12" s="148">
        <f>Y12</f>
        <v>4</v>
      </c>
      <c r="AI12" s="130" t="str">
        <f>MID($AA12,AI$1,1)</f>
        <v>0</v>
      </c>
      <c r="AJ12" s="131" t="str">
        <f t="shared" si="34"/>
        <v>1</v>
      </c>
      <c r="AK12" s="131" t="str">
        <f t="shared" si="34"/>
        <v>0</v>
      </c>
      <c r="AL12" s="131" t="str">
        <f t="shared" si="34"/>
        <v>0</v>
      </c>
      <c r="AM12" s="131" t="str">
        <f t="shared" si="34"/>
        <v>0</v>
      </c>
      <c r="AN12" s="131" t="str">
        <f t="shared" si="34"/>
        <v>1</v>
      </c>
      <c r="AO12" s="132" t="str">
        <f t="shared" si="34"/>
        <v>1</v>
      </c>
      <c r="AT12" s="135" t="s">
        <v>120</v>
      </c>
      <c r="AU12" s="117">
        <f>MOD(AU10+AU11,2)</f>
        <v>1</v>
      </c>
      <c r="AV12" s="117">
        <f t="shared" ref="AV12:AX12" si="40">MOD(AV10+AV11,2)</f>
        <v>1</v>
      </c>
      <c r="AW12" s="117">
        <f t="shared" si="40"/>
        <v>0</v>
      </c>
      <c r="AX12" s="149">
        <f t="shared" si="40"/>
        <v>1</v>
      </c>
      <c r="AY12" s="135" t="s">
        <v>120</v>
      </c>
      <c r="AZ12" s="117">
        <f>MOD(AZ10+AZ11,2)</f>
        <v>1</v>
      </c>
      <c r="BA12" s="117">
        <f t="shared" ref="BA12:BF12" si="41">MOD(BA10+BA11,2)</f>
        <v>1</v>
      </c>
      <c r="BB12" s="117">
        <f t="shared" si="41"/>
        <v>0</v>
      </c>
      <c r="BC12" s="117">
        <f t="shared" si="41"/>
        <v>1</v>
      </c>
      <c r="BD12" s="117">
        <f t="shared" si="41"/>
        <v>0</v>
      </c>
      <c r="BE12" s="117">
        <f t="shared" si="41"/>
        <v>0</v>
      </c>
      <c r="BF12" s="119">
        <f t="shared" si="41"/>
        <v>0</v>
      </c>
      <c r="BK12" s="135" t="s">
        <v>120</v>
      </c>
      <c r="BL12" s="117">
        <f>MOD(BL10+BL11,2)</f>
        <v>1</v>
      </c>
      <c r="BM12" s="117">
        <f t="shared" ref="BM12:BO12" si="42">MOD(BM10+BM11,2)</f>
        <v>1</v>
      </c>
      <c r="BN12" s="117">
        <f t="shared" si="42"/>
        <v>0</v>
      </c>
      <c r="BO12" s="149">
        <f t="shared" si="42"/>
        <v>0</v>
      </c>
      <c r="BP12" s="135" t="s">
        <v>120</v>
      </c>
      <c r="BQ12" s="117">
        <f>MOD(BQ10+BQ11,2)</f>
        <v>1</v>
      </c>
      <c r="BR12" s="117">
        <f t="shared" ref="BR12:BW12" si="43">MOD(BR10+BR11,2)</f>
        <v>1</v>
      </c>
      <c r="BS12" s="117">
        <f t="shared" si="43"/>
        <v>0</v>
      </c>
      <c r="BT12" s="117">
        <f t="shared" si="43"/>
        <v>0</v>
      </c>
      <c r="BU12" s="117">
        <f t="shared" si="43"/>
        <v>1</v>
      </c>
      <c r="BV12" s="117">
        <f t="shared" si="43"/>
        <v>0</v>
      </c>
      <c r="BW12" s="119">
        <f t="shared" si="43"/>
        <v>1</v>
      </c>
    </row>
    <row r="13" spans="1:75" x14ac:dyDescent="0.35">
      <c r="A13" s="151">
        <v>11</v>
      </c>
      <c r="B13" s="93" t="str">
        <f t="shared" si="4"/>
        <v>1010</v>
      </c>
      <c r="C13" s="151">
        <v>10</v>
      </c>
      <c r="D13" s="93" t="str">
        <f t="shared" si="5"/>
        <v>1010001</v>
      </c>
      <c r="E13" s="93">
        <v>81</v>
      </c>
      <c r="K13" s="134" t="s">
        <v>120</v>
      </c>
      <c r="L13" s="121">
        <f>MOD(L11+L12,2)</f>
        <v>1</v>
      </c>
      <c r="M13" s="121">
        <f t="shared" ref="M13:O13" si="44">MOD(M11+M12,2)</f>
        <v>1</v>
      </c>
      <c r="N13" s="121">
        <f t="shared" si="44"/>
        <v>0</v>
      </c>
      <c r="O13" s="121">
        <f t="shared" si="44"/>
        <v>1</v>
      </c>
      <c r="P13" s="135" t="s">
        <v>120</v>
      </c>
      <c r="Q13" s="121">
        <f>MOD(Q11+Q12,2)</f>
        <v>1</v>
      </c>
      <c r="R13" s="121">
        <f t="shared" ref="R13:W13" si="45">MOD(R11+R12,2)</f>
        <v>1</v>
      </c>
      <c r="S13" s="121">
        <f t="shared" si="45"/>
        <v>0</v>
      </c>
      <c r="T13" s="121">
        <f t="shared" si="45"/>
        <v>1</v>
      </c>
      <c r="U13" s="121">
        <f t="shared" si="45"/>
        <v>0</v>
      </c>
      <c r="V13" s="121">
        <f t="shared" si="45"/>
        <v>0</v>
      </c>
      <c r="W13" s="121">
        <f t="shared" si="45"/>
        <v>0</v>
      </c>
      <c r="AC13" s="134" t="s">
        <v>120</v>
      </c>
      <c r="AD13" s="136">
        <f>MOD(AD11+AD12,2)</f>
        <v>0</v>
      </c>
      <c r="AE13" s="136">
        <f t="shared" ref="AE13:AG13" si="46">MOD(AE11+AE12,2)</f>
        <v>1</v>
      </c>
      <c r="AF13" s="136">
        <f t="shared" si="46"/>
        <v>1</v>
      </c>
      <c r="AG13" s="136">
        <f t="shared" si="46"/>
        <v>0</v>
      </c>
      <c r="AH13" s="134" t="s">
        <v>120</v>
      </c>
      <c r="AI13" s="136">
        <f>MOD(AI11+AI12,2)</f>
        <v>0</v>
      </c>
      <c r="AJ13" s="136">
        <f t="shared" ref="AJ13:AO13" si="47">MOD(AJ11+AJ12,2)</f>
        <v>1</v>
      </c>
      <c r="AK13" s="136">
        <f t="shared" si="47"/>
        <v>1</v>
      </c>
      <c r="AL13" s="136">
        <f t="shared" si="47"/>
        <v>0</v>
      </c>
      <c r="AM13" s="136">
        <f t="shared" si="47"/>
        <v>1</v>
      </c>
      <c r="AN13" s="136">
        <f t="shared" si="47"/>
        <v>0</v>
      </c>
      <c r="AO13" s="136">
        <f t="shared" si="47"/>
        <v>0</v>
      </c>
      <c r="AT13" s="142" t="s">
        <v>69</v>
      </c>
      <c r="AU13" s="229" t="str">
        <f>AU12&amp;AV12&amp;AW12&amp;AX12</f>
        <v>1101</v>
      </c>
      <c r="AV13" s="229"/>
      <c r="AW13" s="229"/>
      <c r="AX13" s="235"/>
      <c r="AY13" s="142" t="s">
        <v>69</v>
      </c>
      <c r="AZ13" s="229" t="str">
        <f>AZ12&amp;BA12&amp;BB12&amp;BC12&amp;BD12&amp;BE12&amp;BF12</f>
        <v>1101000</v>
      </c>
      <c r="BA13" s="229"/>
      <c r="BB13" s="229"/>
      <c r="BC13" s="229"/>
      <c r="BD13" s="229"/>
      <c r="BE13" s="229"/>
      <c r="BF13" s="236"/>
      <c r="BK13" s="142" t="s">
        <v>69</v>
      </c>
      <c r="BL13" s="229" t="str">
        <f>BL12&amp;BM12&amp;BN12&amp;BO12</f>
        <v>1100</v>
      </c>
      <c r="BM13" s="229"/>
      <c r="BN13" s="229"/>
      <c r="BO13" s="235"/>
      <c r="BP13" s="142" t="s">
        <v>69</v>
      </c>
      <c r="BQ13" s="229" t="str">
        <f>BQ12&amp;BR12&amp;BS12&amp;BT12&amp;BU12&amp;BV12&amp;BW12</f>
        <v>1100101</v>
      </c>
      <c r="BR13" s="229"/>
      <c r="BS13" s="229"/>
      <c r="BT13" s="229"/>
      <c r="BU13" s="229"/>
      <c r="BV13" s="229"/>
      <c r="BW13" s="236"/>
    </row>
    <row r="14" spans="1:75" ht="18.600000000000001" thickBot="1" x14ac:dyDescent="0.4">
      <c r="A14" s="151">
        <v>12</v>
      </c>
      <c r="B14" s="93" t="str">
        <f t="shared" si="4"/>
        <v>1011</v>
      </c>
      <c r="C14" s="151">
        <v>11</v>
      </c>
      <c r="D14" s="93" t="str">
        <f t="shared" si="5"/>
        <v>1011100</v>
      </c>
      <c r="E14" s="93">
        <v>92</v>
      </c>
      <c r="K14" s="139" t="s">
        <v>69</v>
      </c>
      <c r="L14" s="240" t="str">
        <f>L13&amp;M13&amp;N13&amp;O13</f>
        <v>1101</v>
      </c>
      <c r="M14" s="229"/>
      <c r="N14" s="229"/>
      <c r="O14" s="236"/>
      <c r="P14" s="142" t="s">
        <v>69</v>
      </c>
      <c r="Q14" s="240" t="str">
        <f>Q13&amp;R13&amp;S13&amp;T13&amp;"+"&amp;U13&amp;V13&amp;W13</f>
        <v>1101+000</v>
      </c>
      <c r="R14" s="229"/>
      <c r="S14" s="229"/>
      <c r="T14" s="229"/>
      <c r="U14" s="229"/>
      <c r="V14" s="229"/>
      <c r="W14" s="236"/>
      <c r="AC14" s="139" t="s">
        <v>69</v>
      </c>
      <c r="AD14" s="240" t="str">
        <f>AD13&amp;AE13&amp;AF13&amp;AG13</f>
        <v>0110</v>
      </c>
      <c r="AE14" s="229"/>
      <c r="AF14" s="229"/>
      <c r="AG14" s="236"/>
      <c r="AH14" s="139" t="s">
        <v>69</v>
      </c>
      <c r="AI14" s="240" t="str">
        <f>AI13&amp;AJ13&amp;AK13&amp;AL13&amp;"+"&amp;AM13&amp;AN13&amp;AO13</f>
        <v>0110+100</v>
      </c>
      <c r="AJ14" s="229"/>
      <c r="AK14" s="229"/>
      <c r="AL14" s="229"/>
      <c r="AM14" s="229"/>
      <c r="AN14" s="229"/>
      <c r="AO14" s="236"/>
      <c r="AT14" s="146" t="s">
        <v>68</v>
      </c>
      <c r="AU14" s="237">
        <f>BIN2DEC(AU13)</f>
        <v>13</v>
      </c>
      <c r="AV14" s="237"/>
      <c r="AW14" s="237"/>
      <c r="AX14" s="238"/>
      <c r="AY14" s="146" t="s">
        <v>68</v>
      </c>
      <c r="AZ14" s="237" t="str">
        <f>BIN2HEX(AZ13)</f>
        <v>68</v>
      </c>
      <c r="BA14" s="237"/>
      <c r="BB14" s="237"/>
      <c r="BC14" s="237"/>
      <c r="BD14" s="237"/>
      <c r="BE14" s="237"/>
      <c r="BF14" s="239"/>
      <c r="BK14" s="146" t="s">
        <v>68</v>
      </c>
      <c r="BL14" s="237">
        <f>BIN2DEC(BL13)</f>
        <v>12</v>
      </c>
      <c r="BM14" s="237"/>
      <c r="BN14" s="237"/>
      <c r="BO14" s="238"/>
      <c r="BP14" s="146" t="s">
        <v>68</v>
      </c>
      <c r="BQ14" s="237" t="str">
        <f>BIN2HEX(BQ13)</f>
        <v>65</v>
      </c>
      <c r="BR14" s="237"/>
      <c r="BS14" s="237"/>
      <c r="BT14" s="237"/>
      <c r="BU14" s="237"/>
      <c r="BV14" s="237"/>
      <c r="BW14" s="239"/>
    </row>
    <row r="15" spans="1:75" ht="18.600000000000001" thickBot="1" x14ac:dyDescent="0.4">
      <c r="A15" s="151">
        <v>13</v>
      </c>
      <c r="B15" s="93" t="str">
        <f t="shared" si="4"/>
        <v>1100</v>
      </c>
      <c r="C15" s="151">
        <v>12</v>
      </c>
      <c r="D15" s="93" t="str">
        <f t="shared" si="5"/>
        <v>1100101</v>
      </c>
      <c r="E15" s="93">
        <v>101</v>
      </c>
      <c r="K15" s="143" t="s">
        <v>68</v>
      </c>
      <c r="L15" s="241">
        <f>BIN2DEC(L14)</f>
        <v>13</v>
      </c>
      <c r="M15" s="237"/>
      <c r="N15" s="237"/>
      <c r="O15" s="239"/>
      <c r="P15" s="146" t="s">
        <v>68</v>
      </c>
      <c r="Q15" s="241">
        <f>L15</f>
        <v>13</v>
      </c>
      <c r="R15" s="237"/>
      <c r="S15" s="237"/>
      <c r="T15" s="237"/>
      <c r="U15" s="237"/>
      <c r="V15" s="237"/>
      <c r="W15" s="239"/>
      <c r="AC15" s="143" t="s">
        <v>68</v>
      </c>
      <c r="AD15" s="241">
        <f>BIN2DEC(AD14)</f>
        <v>6</v>
      </c>
      <c r="AE15" s="237"/>
      <c r="AF15" s="237"/>
      <c r="AG15" s="239"/>
      <c r="AH15" s="143" t="s">
        <v>68</v>
      </c>
      <c r="AI15" s="241">
        <f>AD15</f>
        <v>6</v>
      </c>
      <c r="AJ15" s="237"/>
      <c r="AK15" s="237"/>
      <c r="AL15" s="237"/>
      <c r="AM15" s="237"/>
      <c r="AN15" s="237"/>
      <c r="AO15" s="239"/>
    </row>
    <row r="16" spans="1:75" ht="18.600000000000001" thickBot="1" x14ac:dyDescent="0.4">
      <c r="A16" s="151">
        <v>14</v>
      </c>
      <c r="B16" s="93" t="str">
        <f t="shared" si="4"/>
        <v>1101</v>
      </c>
      <c r="C16" s="151">
        <v>13</v>
      </c>
      <c r="D16" s="93" t="str">
        <f t="shared" si="5"/>
        <v>1101000</v>
      </c>
      <c r="E16" s="93">
        <v>104</v>
      </c>
      <c r="AT16" s="121">
        <f>AQ4</f>
        <v>5</v>
      </c>
      <c r="AU16" s="122" t="str">
        <f>AU4</f>
        <v>0</v>
      </c>
      <c r="AV16" s="122" t="str">
        <f t="shared" ref="AV16:AX16" si="48">AV4</f>
        <v>1</v>
      </c>
      <c r="AW16" s="122" t="str">
        <f t="shared" si="48"/>
        <v>0</v>
      </c>
      <c r="AX16" s="122" t="str">
        <f t="shared" si="48"/>
        <v>1</v>
      </c>
      <c r="AY16" s="121">
        <f>AT16</f>
        <v>5</v>
      </c>
      <c r="AZ16" s="122" t="str">
        <f>AZ4</f>
        <v>0</v>
      </c>
      <c r="BA16" s="122" t="str">
        <f t="shared" ref="BA16:BF16" si="49">BA4</f>
        <v>1</v>
      </c>
      <c r="BB16" s="122" t="str">
        <f t="shared" si="49"/>
        <v>0</v>
      </c>
      <c r="BC16" s="122" t="str">
        <f t="shared" si="49"/>
        <v>1</v>
      </c>
      <c r="BD16" s="122" t="str">
        <f t="shared" si="49"/>
        <v>1</v>
      </c>
      <c r="BE16" s="122" t="str">
        <f t="shared" si="49"/>
        <v>1</v>
      </c>
      <c r="BF16" s="123" t="str">
        <f t="shared" si="49"/>
        <v>0</v>
      </c>
      <c r="BK16" s="121">
        <f>BH4</f>
        <v>8</v>
      </c>
      <c r="BL16" s="122" t="str">
        <f>BL4</f>
        <v>1</v>
      </c>
      <c r="BM16" s="122" t="str">
        <f t="shared" ref="BM16:BO16" si="50">BM4</f>
        <v>0</v>
      </c>
      <c r="BN16" s="122" t="str">
        <f t="shared" si="50"/>
        <v>0</v>
      </c>
      <c r="BO16" s="122" t="str">
        <f t="shared" si="50"/>
        <v>0</v>
      </c>
      <c r="BP16" s="121">
        <f>BK16</f>
        <v>8</v>
      </c>
      <c r="BQ16" s="122" t="str">
        <f>BQ4</f>
        <v>1</v>
      </c>
      <c r="BR16" s="122" t="str">
        <f t="shared" ref="BR16:BW16" si="51">BR4</f>
        <v>0</v>
      </c>
      <c r="BS16" s="122" t="str">
        <f t="shared" si="51"/>
        <v>0</v>
      </c>
      <c r="BT16" s="122" t="str">
        <f t="shared" si="51"/>
        <v>0</v>
      </c>
      <c r="BU16" s="122" t="str">
        <f t="shared" si="51"/>
        <v>1</v>
      </c>
      <c r="BV16" s="122" t="str">
        <f t="shared" si="51"/>
        <v>1</v>
      </c>
      <c r="BW16" s="123" t="str">
        <f t="shared" si="51"/>
        <v>0</v>
      </c>
    </row>
    <row r="17" spans="1:75" ht="18.600000000000001" thickBot="1" x14ac:dyDescent="0.4">
      <c r="A17" s="151">
        <v>15</v>
      </c>
      <c r="B17" s="93" t="str">
        <f t="shared" si="4"/>
        <v>1110</v>
      </c>
      <c r="C17" s="151">
        <v>14</v>
      </c>
      <c r="D17" s="93" t="str">
        <f t="shared" si="5"/>
        <v>1110010</v>
      </c>
      <c r="E17" s="93">
        <v>114</v>
      </c>
      <c r="G17" s="155" t="s">
        <v>68</v>
      </c>
      <c r="H17" s="156" t="s">
        <v>113</v>
      </c>
      <c r="I17" s="157" t="s">
        <v>114</v>
      </c>
      <c r="K17" s="242" t="s">
        <v>115</v>
      </c>
      <c r="L17" s="243"/>
      <c r="M17" s="243"/>
      <c r="N17" s="243"/>
      <c r="O17" s="244"/>
      <c r="P17" s="245" t="s">
        <v>116</v>
      </c>
      <c r="Q17" s="246"/>
      <c r="R17" s="246"/>
      <c r="S17" s="246"/>
      <c r="T17" s="246"/>
      <c r="U17" s="246"/>
      <c r="V17" s="246"/>
      <c r="W17" s="247"/>
      <c r="Y17" s="152" t="s">
        <v>68</v>
      </c>
      <c r="Z17" s="153" t="s">
        <v>113</v>
      </c>
      <c r="AA17" s="154" t="s">
        <v>114</v>
      </c>
      <c r="AC17" s="242" t="s">
        <v>115</v>
      </c>
      <c r="AD17" s="243"/>
      <c r="AE17" s="243"/>
      <c r="AF17" s="243"/>
      <c r="AG17" s="244"/>
      <c r="AH17" s="245" t="s">
        <v>116</v>
      </c>
      <c r="AI17" s="246"/>
      <c r="AJ17" s="246"/>
      <c r="AK17" s="246"/>
      <c r="AL17" s="246"/>
      <c r="AM17" s="246"/>
      <c r="AN17" s="246"/>
      <c r="AO17" s="247"/>
      <c r="AT17" s="118">
        <f>AQ6</f>
        <v>6</v>
      </c>
      <c r="AU17" s="117" t="str">
        <f>AU6</f>
        <v>0</v>
      </c>
      <c r="AV17" s="117" t="str">
        <f t="shared" ref="AV17:AX17" si="52">AV6</f>
        <v>1</v>
      </c>
      <c r="AW17" s="117" t="str">
        <f t="shared" si="52"/>
        <v>1</v>
      </c>
      <c r="AX17" s="117" t="str">
        <f t="shared" si="52"/>
        <v>0</v>
      </c>
      <c r="AY17" s="118">
        <f>AT17</f>
        <v>6</v>
      </c>
      <c r="AZ17" s="117" t="str">
        <f>AZ6</f>
        <v>0</v>
      </c>
      <c r="BA17" s="117" t="str">
        <f t="shared" ref="BA17:BF17" si="53">BA6</f>
        <v>1</v>
      </c>
      <c r="BB17" s="117" t="str">
        <f t="shared" si="53"/>
        <v>1</v>
      </c>
      <c r="BC17" s="117" t="str">
        <f t="shared" si="53"/>
        <v>0</v>
      </c>
      <c r="BD17" s="117" t="str">
        <f t="shared" si="53"/>
        <v>1</v>
      </c>
      <c r="BE17" s="117" t="str">
        <f t="shared" si="53"/>
        <v>0</v>
      </c>
      <c r="BF17" s="119" t="str">
        <f t="shared" si="53"/>
        <v>0</v>
      </c>
      <c r="BK17" s="118">
        <f>BH6</f>
        <v>2</v>
      </c>
      <c r="BL17" s="117" t="str">
        <f>BL6</f>
        <v>0</v>
      </c>
      <c r="BM17" s="117" t="str">
        <f t="shared" ref="BM17:BO17" si="54">BM6</f>
        <v>0</v>
      </c>
      <c r="BN17" s="117" t="str">
        <f t="shared" si="54"/>
        <v>1</v>
      </c>
      <c r="BO17" s="117" t="str">
        <f t="shared" si="54"/>
        <v>0</v>
      </c>
      <c r="BP17" s="118">
        <f>BK17</f>
        <v>2</v>
      </c>
      <c r="BQ17" s="117" t="str">
        <f>BQ6</f>
        <v>0</v>
      </c>
      <c r="BR17" s="117" t="str">
        <f t="shared" ref="BR17:BW17" si="55">BR6</f>
        <v>0</v>
      </c>
      <c r="BS17" s="117" t="str">
        <f t="shared" si="55"/>
        <v>1</v>
      </c>
      <c r="BT17" s="117" t="str">
        <f t="shared" si="55"/>
        <v>0</v>
      </c>
      <c r="BU17" s="117" t="str">
        <f t="shared" si="55"/>
        <v>1</v>
      </c>
      <c r="BV17" s="117" t="str">
        <f t="shared" si="55"/>
        <v>1</v>
      </c>
      <c r="BW17" s="119" t="str">
        <f t="shared" si="55"/>
        <v>1</v>
      </c>
    </row>
    <row r="18" spans="1:75" x14ac:dyDescent="0.35">
      <c r="A18" s="151">
        <v>16</v>
      </c>
      <c r="B18" s="93" t="str">
        <f t="shared" si="4"/>
        <v>1111</v>
      </c>
      <c r="C18" s="151">
        <v>15</v>
      </c>
      <c r="D18" s="93" t="str">
        <f t="shared" si="5"/>
        <v>1111111</v>
      </c>
      <c r="E18" s="93">
        <v>127</v>
      </c>
      <c r="G18" s="94">
        <v>5</v>
      </c>
      <c r="H18" s="93" t="str">
        <f>DEC2BIN(G18,4)</f>
        <v>0101</v>
      </c>
      <c r="I18" s="158" t="str">
        <f>VLOOKUP(H18,табл2,3,0)</f>
        <v>0101110</v>
      </c>
      <c r="K18" s="162">
        <f>G18</f>
        <v>5</v>
      </c>
      <c r="L18" s="163" t="str">
        <f>MID($H18,L$1,1)</f>
        <v>0</v>
      </c>
      <c r="M18" s="164" t="str">
        <f t="shared" ref="M18:O18" si="56">MID($H18,M$1,1)</f>
        <v>1</v>
      </c>
      <c r="N18" s="164" t="str">
        <f t="shared" si="56"/>
        <v>0</v>
      </c>
      <c r="O18" s="165" t="str">
        <f t="shared" si="56"/>
        <v>1</v>
      </c>
      <c r="P18" s="166">
        <f>G18</f>
        <v>5</v>
      </c>
      <c r="Q18" s="163" t="str">
        <f>MID($I18,Q$1,1)</f>
        <v>0</v>
      </c>
      <c r="R18" s="164" t="str">
        <f t="shared" ref="R18:W19" si="57">MID($I18,R$1,1)</f>
        <v>1</v>
      </c>
      <c r="S18" s="164" t="str">
        <f t="shared" si="57"/>
        <v>0</v>
      </c>
      <c r="T18" s="164" t="str">
        <f t="shared" si="57"/>
        <v>1</v>
      </c>
      <c r="U18" s="164" t="str">
        <f t="shared" si="57"/>
        <v>1</v>
      </c>
      <c r="V18" s="164" t="str">
        <f t="shared" si="57"/>
        <v>1</v>
      </c>
      <c r="W18" s="165" t="str">
        <f t="shared" si="57"/>
        <v>0</v>
      </c>
      <c r="Y18" s="94">
        <v>4</v>
      </c>
      <c r="Z18" s="93" t="str">
        <f>DEC2BIN(Y18,4)</f>
        <v>0100</v>
      </c>
      <c r="AA18" s="158" t="str">
        <f>VLOOKUP(Z18,табл2,3,0)</f>
        <v>0100011</v>
      </c>
      <c r="AC18" s="120">
        <f>Y18</f>
        <v>4</v>
      </c>
      <c r="AD18" s="121" t="str">
        <f>MID($Z18,AD$1,1)</f>
        <v>0</v>
      </c>
      <c r="AE18" s="122" t="str">
        <f t="shared" ref="AE18:AG19" si="58">MID($Z18,AE$1,1)</f>
        <v>1</v>
      </c>
      <c r="AF18" s="122" t="str">
        <f t="shared" si="58"/>
        <v>0</v>
      </c>
      <c r="AG18" s="123" t="str">
        <f t="shared" si="58"/>
        <v>0</v>
      </c>
      <c r="AH18" s="124">
        <f>Y18</f>
        <v>4</v>
      </c>
      <c r="AI18" s="121" t="str">
        <f>MID($AA18,AI$1,1)</f>
        <v>0</v>
      </c>
      <c r="AJ18" s="122" t="str">
        <f t="shared" ref="AJ18:AO19" si="59">MID($AA18,AJ$1,1)</f>
        <v>1</v>
      </c>
      <c r="AK18" s="122" t="str">
        <f t="shared" si="59"/>
        <v>0</v>
      </c>
      <c r="AL18" s="122" t="str">
        <f t="shared" si="59"/>
        <v>0</v>
      </c>
      <c r="AM18" s="122" t="str">
        <f t="shared" si="59"/>
        <v>0</v>
      </c>
      <c r="AN18" s="122" t="str">
        <f t="shared" si="59"/>
        <v>1</v>
      </c>
      <c r="AO18" s="123" t="str">
        <f t="shared" si="59"/>
        <v>1</v>
      </c>
      <c r="AT18" s="135" t="s">
        <v>120</v>
      </c>
      <c r="AU18" s="117">
        <f>MOD(AU16+AU17,2)</f>
        <v>0</v>
      </c>
      <c r="AV18" s="117">
        <f t="shared" ref="AV18:AX18" si="60">MOD(AV16+AV17,2)</f>
        <v>0</v>
      </c>
      <c r="AW18" s="117">
        <f t="shared" si="60"/>
        <v>1</v>
      </c>
      <c r="AX18" s="149">
        <f t="shared" si="60"/>
        <v>1</v>
      </c>
      <c r="AY18" s="135" t="s">
        <v>120</v>
      </c>
      <c r="AZ18" s="117">
        <f>MOD(AZ16+AZ17,2)</f>
        <v>0</v>
      </c>
      <c r="BA18" s="117">
        <f t="shared" ref="BA18:BF18" si="61">MOD(BA16+BA17,2)</f>
        <v>0</v>
      </c>
      <c r="BB18" s="117">
        <f t="shared" si="61"/>
        <v>1</v>
      </c>
      <c r="BC18" s="117">
        <f t="shared" si="61"/>
        <v>1</v>
      </c>
      <c r="BD18" s="117">
        <f t="shared" si="61"/>
        <v>0</v>
      </c>
      <c r="BE18" s="117">
        <f t="shared" si="61"/>
        <v>1</v>
      </c>
      <c r="BF18" s="119">
        <f t="shared" si="61"/>
        <v>0</v>
      </c>
      <c r="BK18" s="135" t="s">
        <v>120</v>
      </c>
      <c r="BL18" s="117">
        <f>MOD(BL16+BL17,2)</f>
        <v>1</v>
      </c>
      <c r="BM18" s="117">
        <f t="shared" ref="BM18:BO18" si="62">MOD(BM16+BM17,2)</f>
        <v>0</v>
      </c>
      <c r="BN18" s="117">
        <f t="shared" si="62"/>
        <v>1</v>
      </c>
      <c r="BO18" s="149">
        <f t="shared" si="62"/>
        <v>0</v>
      </c>
      <c r="BP18" s="135" t="s">
        <v>120</v>
      </c>
      <c r="BQ18" s="117">
        <f>MOD(BQ16+BQ17,2)</f>
        <v>1</v>
      </c>
      <c r="BR18" s="117">
        <f t="shared" ref="BR18:BW18" si="63">MOD(BR16+BR17,2)</f>
        <v>0</v>
      </c>
      <c r="BS18" s="117">
        <f t="shared" si="63"/>
        <v>1</v>
      </c>
      <c r="BT18" s="117">
        <f t="shared" si="63"/>
        <v>0</v>
      </c>
      <c r="BU18" s="117">
        <f t="shared" si="63"/>
        <v>0</v>
      </c>
      <c r="BV18" s="117">
        <f t="shared" si="63"/>
        <v>0</v>
      </c>
      <c r="BW18" s="119">
        <f t="shared" si="63"/>
        <v>1</v>
      </c>
    </row>
    <row r="19" spans="1:75" ht="18.600000000000001" thickBot="1" x14ac:dyDescent="0.4">
      <c r="G19" s="159">
        <v>6</v>
      </c>
      <c r="H19" s="160" t="str">
        <f t="shared" ref="H19" si="64">DEC2BIN(G19,4)</f>
        <v>0110</v>
      </c>
      <c r="I19" s="161" t="str">
        <f>VLOOKUP(H19,табл2,3,0)</f>
        <v>0110100</v>
      </c>
      <c r="K19" s="167">
        <f t="shared" ref="K19" si="65">G19</f>
        <v>6</v>
      </c>
      <c r="L19" s="94" t="str">
        <f t="shared" ref="L19:O19" si="66">MID($H19,L$1,1)</f>
        <v>0</v>
      </c>
      <c r="M19" s="93" t="str">
        <f t="shared" si="66"/>
        <v>1</v>
      </c>
      <c r="N19" s="93" t="str">
        <f t="shared" si="66"/>
        <v>1</v>
      </c>
      <c r="O19" s="158" t="str">
        <f t="shared" si="66"/>
        <v>0</v>
      </c>
      <c r="P19" s="166">
        <f>G19</f>
        <v>6</v>
      </c>
      <c r="Q19" s="159" t="str">
        <f>MID($I19,Q$1,1)</f>
        <v>0</v>
      </c>
      <c r="R19" s="159" t="str">
        <f t="shared" si="57"/>
        <v>1</v>
      </c>
      <c r="S19" s="159" t="str">
        <f t="shared" si="57"/>
        <v>1</v>
      </c>
      <c r="T19" s="159" t="str">
        <f t="shared" si="57"/>
        <v>0</v>
      </c>
      <c r="U19" s="159" t="str">
        <f t="shared" si="57"/>
        <v>1</v>
      </c>
      <c r="V19" s="159" t="str">
        <f t="shared" si="57"/>
        <v>0</v>
      </c>
      <c r="W19" s="159" t="str">
        <f t="shared" si="57"/>
        <v>0</v>
      </c>
      <c r="Y19" s="159">
        <v>8</v>
      </c>
      <c r="Z19" s="160" t="str">
        <f t="shared" ref="Z19" si="67">DEC2BIN(Y19,4)</f>
        <v>1000</v>
      </c>
      <c r="AA19" s="161" t="str">
        <f>VLOOKUP(Z19,табл2,3,0)</f>
        <v>1000110</v>
      </c>
      <c r="AC19" s="128">
        <f t="shared" ref="AC19" si="68">Y19</f>
        <v>8</v>
      </c>
      <c r="AD19" s="130" t="str">
        <f>MID($Z19,AD$1,1)</f>
        <v>1</v>
      </c>
      <c r="AE19" s="131" t="str">
        <f t="shared" si="58"/>
        <v>0</v>
      </c>
      <c r="AF19" s="131" t="str">
        <f t="shared" si="58"/>
        <v>0</v>
      </c>
      <c r="AG19" s="132" t="str">
        <f t="shared" si="58"/>
        <v>0</v>
      </c>
      <c r="AH19" s="124">
        <f>Y19</f>
        <v>8</v>
      </c>
      <c r="AI19" s="130" t="str">
        <f>MID($AA19,AI$1,1)</f>
        <v>1</v>
      </c>
      <c r="AJ19" s="131" t="str">
        <f t="shared" si="59"/>
        <v>0</v>
      </c>
      <c r="AK19" s="131" t="str">
        <f t="shared" si="59"/>
        <v>0</v>
      </c>
      <c r="AL19" s="131" t="str">
        <f t="shared" si="59"/>
        <v>0</v>
      </c>
      <c r="AM19" s="131" t="str">
        <f t="shared" si="59"/>
        <v>1</v>
      </c>
      <c r="AN19" s="131" t="str">
        <f t="shared" si="59"/>
        <v>1</v>
      </c>
      <c r="AO19" s="132" t="str">
        <f t="shared" si="59"/>
        <v>0</v>
      </c>
      <c r="AT19" s="142" t="s">
        <v>69</v>
      </c>
      <c r="AU19" s="229" t="str">
        <f>AU18&amp;AV18&amp;AW18&amp;AX18</f>
        <v>0011</v>
      </c>
      <c r="AV19" s="229"/>
      <c r="AW19" s="229"/>
      <c r="AX19" s="235"/>
      <c r="AY19" s="142" t="s">
        <v>69</v>
      </c>
      <c r="AZ19" s="229" t="str">
        <f>AZ18&amp;BA18&amp;BB18&amp;BC18&amp;BD18&amp;BE18&amp;BF18</f>
        <v>0011010</v>
      </c>
      <c r="BA19" s="229"/>
      <c r="BB19" s="229"/>
      <c r="BC19" s="229"/>
      <c r="BD19" s="229"/>
      <c r="BE19" s="229"/>
      <c r="BF19" s="236"/>
      <c r="BK19" s="142" t="s">
        <v>69</v>
      </c>
      <c r="BL19" s="229" t="str">
        <f>BL18&amp;BM18&amp;BN18&amp;BO18</f>
        <v>1010</v>
      </c>
      <c r="BM19" s="229"/>
      <c r="BN19" s="229"/>
      <c r="BO19" s="235"/>
      <c r="BP19" s="142" t="s">
        <v>69</v>
      </c>
      <c r="BQ19" s="229" t="str">
        <f>BQ18&amp;BR18&amp;BS18&amp;BT18&amp;BU18&amp;BV18&amp;BW18</f>
        <v>1010001</v>
      </c>
      <c r="BR19" s="229"/>
      <c r="BS19" s="229"/>
      <c r="BT19" s="229"/>
      <c r="BU19" s="229"/>
      <c r="BV19" s="229"/>
      <c r="BW19" s="236"/>
    </row>
    <row r="20" spans="1:75" ht="18.600000000000001" thickBot="1" x14ac:dyDescent="0.4">
      <c r="K20" s="134" t="s">
        <v>120</v>
      </c>
      <c r="L20" s="121">
        <f>MOD(L18+L19,2)</f>
        <v>0</v>
      </c>
      <c r="M20" s="121">
        <f t="shared" ref="M20:O20" si="69">MOD(M18+M19,2)</f>
        <v>0</v>
      </c>
      <c r="N20" s="121">
        <f t="shared" si="69"/>
        <v>1</v>
      </c>
      <c r="O20" s="121">
        <f t="shared" si="69"/>
        <v>1</v>
      </c>
      <c r="P20" s="135" t="s">
        <v>120</v>
      </c>
      <c r="Q20" s="121">
        <f>MOD(Q18+Q19,2)</f>
        <v>0</v>
      </c>
      <c r="R20" s="121">
        <f t="shared" ref="R20:W20" si="70">MOD(R18+R19,2)</f>
        <v>0</v>
      </c>
      <c r="S20" s="121">
        <f t="shared" si="70"/>
        <v>1</v>
      </c>
      <c r="T20" s="121">
        <f t="shared" si="70"/>
        <v>1</v>
      </c>
      <c r="U20" s="121">
        <f t="shared" si="70"/>
        <v>0</v>
      </c>
      <c r="V20" s="121">
        <f t="shared" si="70"/>
        <v>1</v>
      </c>
      <c r="W20" s="121">
        <f t="shared" si="70"/>
        <v>0</v>
      </c>
      <c r="AC20" s="134" t="s">
        <v>120</v>
      </c>
      <c r="AD20" s="121">
        <f>MOD(AD18+AD19,2)</f>
        <v>1</v>
      </c>
      <c r="AE20" s="121">
        <f t="shared" ref="AE20:AG20" si="71">MOD(AE18+AE19,2)</f>
        <v>1</v>
      </c>
      <c r="AF20" s="121">
        <f t="shared" si="71"/>
        <v>0</v>
      </c>
      <c r="AG20" s="121">
        <f t="shared" si="71"/>
        <v>0</v>
      </c>
      <c r="AH20" s="134" t="s">
        <v>120</v>
      </c>
      <c r="AI20" s="121">
        <f>MOD(AI18+AI19,2)</f>
        <v>1</v>
      </c>
      <c r="AJ20" s="121">
        <f t="shared" ref="AJ20:AO20" si="72">MOD(AJ18+AJ19,2)</f>
        <v>1</v>
      </c>
      <c r="AK20" s="121">
        <f t="shared" si="72"/>
        <v>0</v>
      </c>
      <c r="AL20" s="121">
        <f t="shared" si="72"/>
        <v>0</v>
      </c>
      <c r="AM20" s="121">
        <f t="shared" si="72"/>
        <v>1</v>
      </c>
      <c r="AN20" s="121">
        <f t="shared" si="72"/>
        <v>0</v>
      </c>
      <c r="AO20" s="121">
        <f t="shared" si="72"/>
        <v>1</v>
      </c>
      <c r="AT20" s="146" t="s">
        <v>68</v>
      </c>
      <c r="AU20" s="237">
        <f>BIN2DEC(AU19)</f>
        <v>3</v>
      </c>
      <c r="AV20" s="237"/>
      <c r="AW20" s="237"/>
      <c r="AX20" s="238"/>
      <c r="AY20" s="146" t="s">
        <v>68</v>
      </c>
      <c r="AZ20" s="237" t="str">
        <f>BIN2HEX(AZ19)</f>
        <v>1A</v>
      </c>
      <c r="BA20" s="237"/>
      <c r="BB20" s="237"/>
      <c r="BC20" s="237"/>
      <c r="BD20" s="237"/>
      <c r="BE20" s="237"/>
      <c r="BF20" s="239"/>
      <c r="BK20" s="146" t="s">
        <v>68</v>
      </c>
      <c r="BL20" s="237">
        <f>BIN2DEC(BL19)</f>
        <v>10</v>
      </c>
      <c r="BM20" s="237"/>
      <c r="BN20" s="237"/>
      <c r="BO20" s="238"/>
      <c r="BP20" s="146" t="s">
        <v>68</v>
      </c>
      <c r="BQ20" s="237" t="str">
        <f>BIN2HEX(BQ19)</f>
        <v>51</v>
      </c>
      <c r="BR20" s="237"/>
      <c r="BS20" s="237"/>
      <c r="BT20" s="237"/>
      <c r="BU20" s="237"/>
      <c r="BV20" s="237"/>
      <c r="BW20" s="239"/>
    </row>
    <row r="21" spans="1:75" ht="18.600000000000001" thickBot="1" x14ac:dyDescent="0.4">
      <c r="A21" s="57"/>
      <c r="K21" s="139" t="s">
        <v>69</v>
      </c>
      <c r="L21" s="240" t="str">
        <f>L20&amp;M20&amp;N20&amp;O20</f>
        <v>0011</v>
      </c>
      <c r="M21" s="229"/>
      <c r="N21" s="229"/>
      <c r="O21" s="236"/>
      <c r="P21" s="142" t="s">
        <v>69</v>
      </c>
      <c r="Q21" s="240" t="str">
        <f>Q20&amp;R20&amp;S20&amp;T20&amp;"+"&amp;U20&amp;V20&amp;W20</f>
        <v>0011+010</v>
      </c>
      <c r="R21" s="229"/>
      <c r="S21" s="229"/>
      <c r="T21" s="229"/>
      <c r="U21" s="229"/>
      <c r="V21" s="229"/>
      <c r="W21" s="236"/>
      <c r="AC21" s="139" t="s">
        <v>69</v>
      </c>
      <c r="AD21" s="240" t="str">
        <f>AD20&amp;AE20&amp;AF20&amp;AG20</f>
        <v>1100</v>
      </c>
      <c r="AE21" s="229"/>
      <c r="AF21" s="229"/>
      <c r="AG21" s="236"/>
      <c r="AH21" s="139" t="s">
        <v>69</v>
      </c>
      <c r="AI21" s="240" t="str">
        <f>AI20&amp;AJ20&amp;AK20&amp;AL20&amp;"+"&amp;AM20&amp;AN20&amp;AO20</f>
        <v>1100+101</v>
      </c>
      <c r="AJ21" s="229"/>
      <c r="AK21" s="229"/>
      <c r="AL21" s="229"/>
      <c r="AM21" s="229"/>
      <c r="AN21" s="229"/>
      <c r="AO21" s="236"/>
    </row>
    <row r="22" spans="1:75" ht="18.600000000000001" thickBot="1" x14ac:dyDescent="0.4">
      <c r="A22" s="58"/>
      <c r="K22" s="143" t="s">
        <v>68</v>
      </c>
      <c r="L22" s="241">
        <f>BIN2DEC(L21)</f>
        <v>3</v>
      </c>
      <c r="M22" s="237"/>
      <c r="N22" s="237"/>
      <c r="O22" s="239"/>
      <c r="P22" s="146" t="s">
        <v>68</v>
      </c>
      <c r="Q22" s="241">
        <f>L22</f>
        <v>3</v>
      </c>
      <c r="R22" s="237"/>
      <c r="S22" s="237"/>
      <c r="T22" s="237"/>
      <c r="U22" s="237"/>
      <c r="V22" s="237"/>
      <c r="W22" s="239"/>
      <c r="AC22" s="143" t="s">
        <v>68</v>
      </c>
      <c r="AD22" s="241">
        <f>BIN2DEC(AD21)</f>
        <v>12</v>
      </c>
      <c r="AE22" s="237"/>
      <c r="AF22" s="237"/>
      <c r="AG22" s="239"/>
      <c r="AH22" s="143" t="s">
        <v>68</v>
      </c>
      <c r="AI22" s="241">
        <f>AD22</f>
        <v>12</v>
      </c>
      <c r="AJ22" s="237"/>
      <c r="AK22" s="237"/>
      <c r="AL22" s="237"/>
      <c r="AM22" s="237"/>
      <c r="AN22" s="237"/>
      <c r="AO22" s="239"/>
      <c r="AT22" s="121">
        <f>AQ4</f>
        <v>5</v>
      </c>
      <c r="AU22" s="122" t="str">
        <f>AU4</f>
        <v>0</v>
      </c>
      <c r="AV22" s="122" t="str">
        <f t="shared" ref="AV22:AX22" si="73">AV4</f>
        <v>1</v>
      </c>
      <c r="AW22" s="122" t="str">
        <f t="shared" si="73"/>
        <v>0</v>
      </c>
      <c r="AX22" s="122" t="str">
        <f t="shared" si="73"/>
        <v>1</v>
      </c>
      <c r="AY22" s="121">
        <f>AT22</f>
        <v>5</v>
      </c>
      <c r="AZ22" s="122" t="str">
        <f>AZ4</f>
        <v>0</v>
      </c>
      <c r="BA22" s="122" t="str">
        <f t="shared" ref="BA22:BF22" si="74">BA4</f>
        <v>1</v>
      </c>
      <c r="BB22" s="122" t="str">
        <f t="shared" si="74"/>
        <v>0</v>
      </c>
      <c r="BC22" s="122" t="str">
        <f t="shared" si="74"/>
        <v>1</v>
      </c>
      <c r="BD22" s="122" t="str">
        <f t="shared" si="74"/>
        <v>1</v>
      </c>
      <c r="BE22" s="122" t="str">
        <f t="shared" si="74"/>
        <v>1</v>
      </c>
      <c r="BF22" s="123" t="str">
        <f t="shared" si="74"/>
        <v>0</v>
      </c>
      <c r="BK22" s="121">
        <f>BH4</f>
        <v>8</v>
      </c>
      <c r="BL22" s="122" t="str">
        <f>BL4</f>
        <v>1</v>
      </c>
      <c r="BM22" s="122" t="str">
        <f t="shared" ref="BM22:BO22" si="75">BM4</f>
        <v>0</v>
      </c>
      <c r="BN22" s="122" t="str">
        <f t="shared" si="75"/>
        <v>0</v>
      </c>
      <c r="BO22" s="122" t="str">
        <f t="shared" si="75"/>
        <v>0</v>
      </c>
      <c r="BP22" s="121">
        <f>BK22</f>
        <v>8</v>
      </c>
      <c r="BQ22" s="122" t="str">
        <f>BQ4</f>
        <v>1</v>
      </c>
      <c r="BR22" s="122" t="str">
        <f t="shared" ref="BR22:BW22" si="76">BR4</f>
        <v>0</v>
      </c>
      <c r="BS22" s="122" t="str">
        <f t="shared" si="76"/>
        <v>0</v>
      </c>
      <c r="BT22" s="122" t="str">
        <f t="shared" si="76"/>
        <v>0</v>
      </c>
      <c r="BU22" s="122" t="str">
        <f t="shared" si="76"/>
        <v>1</v>
      </c>
      <c r="BV22" s="122" t="str">
        <f t="shared" si="76"/>
        <v>1</v>
      </c>
      <c r="BW22" s="123" t="str">
        <f t="shared" si="76"/>
        <v>0</v>
      </c>
    </row>
    <row r="23" spans="1:75" ht="18.600000000000001" thickBot="1" x14ac:dyDescent="0.4">
      <c r="A23" s="58"/>
      <c r="AT23" s="118">
        <f>AQ7</f>
        <v>3</v>
      </c>
      <c r="AU23" s="117" t="str">
        <f>AU7</f>
        <v>0</v>
      </c>
      <c r="AV23" s="117" t="str">
        <f t="shared" ref="AV23:AX23" si="77">AV7</f>
        <v>0</v>
      </c>
      <c r="AW23" s="117" t="str">
        <f t="shared" si="77"/>
        <v>1</v>
      </c>
      <c r="AX23" s="117" t="str">
        <f t="shared" si="77"/>
        <v>1</v>
      </c>
      <c r="AY23" s="118">
        <f>AT23</f>
        <v>3</v>
      </c>
      <c r="AZ23" s="117" t="str">
        <f>AZ7</f>
        <v>0</v>
      </c>
      <c r="BA23" s="117" t="str">
        <f t="shared" ref="BA23:BF23" si="78">BA7</f>
        <v>0</v>
      </c>
      <c r="BB23" s="117" t="str">
        <f t="shared" si="78"/>
        <v>1</v>
      </c>
      <c r="BC23" s="117" t="str">
        <f t="shared" si="78"/>
        <v>1</v>
      </c>
      <c r="BD23" s="117" t="str">
        <f t="shared" si="78"/>
        <v>0</v>
      </c>
      <c r="BE23" s="117" t="str">
        <f t="shared" si="78"/>
        <v>1</v>
      </c>
      <c r="BF23" s="119" t="str">
        <f t="shared" si="78"/>
        <v>0</v>
      </c>
      <c r="BK23" s="118">
        <f>BH7</f>
        <v>1</v>
      </c>
      <c r="BL23" s="117" t="str">
        <f>BL7</f>
        <v>0</v>
      </c>
      <c r="BM23" s="117" t="str">
        <f t="shared" ref="BM23:BO23" si="79">BM7</f>
        <v>0</v>
      </c>
      <c r="BN23" s="117" t="str">
        <f t="shared" si="79"/>
        <v>0</v>
      </c>
      <c r="BO23" s="117" t="str">
        <f t="shared" si="79"/>
        <v>1</v>
      </c>
      <c r="BP23" s="118">
        <f>BK23</f>
        <v>1</v>
      </c>
      <c r="BQ23" s="117" t="str">
        <f>BQ7</f>
        <v>0</v>
      </c>
      <c r="BR23" s="117" t="str">
        <f t="shared" ref="BR23:BW23" si="80">BR7</f>
        <v>0</v>
      </c>
      <c r="BS23" s="117" t="str">
        <f t="shared" si="80"/>
        <v>0</v>
      </c>
      <c r="BT23" s="117" t="str">
        <f t="shared" si="80"/>
        <v>1</v>
      </c>
      <c r="BU23" s="117" t="str">
        <f t="shared" si="80"/>
        <v>1</v>
      </c>
      <c r="BV23" s="117" t="str">
        <f t="shared" si="80"/>
        <v>0</v>
      </c>
      <c r="BW23" s="119" t="str">
        <f t="shared" si="80"/>
        <v>1</v>
      </c>
    </row>
    <row r="24" spans="1:75" x14ac:dyDescent="0.35">
      <c r="AT24" s="135" t="s">
        <v>120</v>
      </c>
      <c r="AU24" s="117">
        <f>MOD(AU22+AU23,2)</f>
        <v>0</v>
      </c>
      <c r="AV24" s="117">
        <f t="shared" ref="AV24:AX24" si="81">MOD(AV22+AV23,2)</f>
        <v>1</v>
      </c>
      <c r="AW24" s="117">
        <f t="shared" si="81"/>
        <v>1</v>
      </c>
      <c r="AX24" s="149">
        <f t="shared" si="81"/>
        <v>0</v>
      </c>
      <c r="AY24" s="135" t="s">
        <v>120</v>
      </c>
      <c r="AZ24" s="117">
        <f>MOD(AZ22+AZ23,2)</f>
        <v>0</v>
      </c>
      <c r="BA24" s="117">
        <f t="shared" ref="BA24:BF24" si="82">MOD(BA22+BA23,2)</f>
        <v>1</v>
      </c>
      <c r="BB24" s="117">
        <f t="shared" si="82"/>
        <v>1</v>
      </c>
      <c r="BC24" s="117">
        <f t="shared" si="82"/>
        <v>0</v>
      </c>
      <c r="BD24" s="117">
        <f t="shared" si="82"/>
        <v>1</v>
      </c>
      <c r="BE24" s="117">
        <f t="shared" si="82"/>
        <v>0</v>
      </c>
      <c r="BF24" s="119">
        <f t="shared" si="82"/>
        <v>0</v>
      </c>
      <c r="BK24" s="135" t="s">
        <v>120</v>
      </c>
      <c r="BL24" s="117">
        <f>MOD(BL22+BL23,2)</f>
        <v>1</v>
      </c>
      <c r="BM24" s="117">
        <f t="shared" ref="BM24:BO24" si="83">MOD(BM22+BM23,2)</f>
        <v>0</v>
      </c>
      <c r="BN24" s="117">
        <f t="shared" si="83"/>
        <v>0</v>
      </c>
      <c r="BO24" s="149">
        <f t="shared" si="83"/>
        <v>1</v>
      </c>
      <c r="BP24" s="135" t="s">
        <v>120</v>
      </c>
      <c r="BQ24" s="117">
        <f>MOD(BQ22+BQ23,2)</f>
        <v>1</v>
      </c>
      <c r="BR24" s="117">
        <f t="shared" ref="BR24:BW24" si="84">MOD(BR22+BR23,2)</f>
        <v>0</v>
      </c>
      <c r="BS24" s="117">
        <f t="shared" si="84"/>
        <v>0</v>
      </c>
      <c r="BT24" s="117">
        <f t="shared" si="84"/>
        <v>1</v>
      </c>
      <c r="BU24" s="117">
        <f t="shared" si="84"/>
        <v>0</v>
      </c>
      <c r="BV24" s="117">
        <f t="shared" si="84"/>
        <v>1</v>
      </c>
      <c r="BW24" s="119">
        <f t="shared" si="84"/>
        <v>1</v>
      </c>
    </row>
    <row r="25" spans="1:75" x14ac:dyDescent="0.35">
      <c r="AT25" s="142" t="s">
        <v>69</v>
      </c>
      <c r="AU25" s="229" t="str">
        <f>AU24&amp;AV24&amp;AW24&amp;AX24</f>
        <v>0110</v>
      </c>
      <c r="AV25" s="229"/>
      <c r="AW25" s="229"/>
      <c r="AX25" s="235"/>
      <c r="AY25" s="142" t="s">
        <v>69</v>
      </c>
      <c r="AZ25" s="229" t="str">
        <f>AZ24&amp;BA24&amp;BB24&amp;BC24&amp;BD24&amp;BE24&amp;BF24</f>
        <v>0110100</v>
      </c>
      <c r="BA25" s="229"/>
      <c r="BB25" s="229"/>
      <c r="BC25" s="229"/>
      <c r="BD25" s="229"/>
      <c r="BE25" s="229"/>
      <c r="BF25" s="236"/>
      <c r="BK25" s="142" t="s">
        <v>69</v>
      </c>
      <c r="BL25" s="229" t="str">
        <f>BL24&amp;BM24&amp;BN24&amp;BO24</f>
        <v>1001</v>
      </c>
      <c r="BM25" s="229"/>
      <c r="BN25" s="229"/>
      <c r="BO25" s="235"/>
      <c r="BP25" s="142" t="s">
        <v>69</v>
      </c>
      <c r="BQ25" s="229" t="str">
        <f>BQ24&amp;BR24&amp;BS24&amp;BT24&amp;BU24&amp;BV24&amp;BW24</f>
        <v>1001011</v>
      </c>
      <c r="BR25" s="229"/>
      <c r="BS25" s="229"/>
      <c r="BT25" s="229"/>
      <c r="BU25" s="229"/>
      <c r="BV25" s="229"/>
      <c r="BW25" s="236"/>
    </row>
    <row r="26" spans="1:75" ht="18.600000000000001" thickBot="1" x14ac:dyDescent="0.4">
      <c r="AT26" s="146" t="s">
        <v>68</v>
      </c>
      <c r="AU26" s="237">
        <f>BIN2DEC(AU25)</f>
        <v>6</v>
      </c>
      <c r="AV26" s="237"/>
      <c r="AW26" s="237"/>
      <c r="AX26" s="238"/>
      <c r="AY26" s="146" t="s">
        <v>68</v>
      </c>
      <c r="AZ26" s="237" t="str">
        <f>BIN2HEX(AZ25)</f>
        <v>34</v>
      </c>
      <c r="BA26" s="237"/>
      <c r="BB26" s="237"/>
      <c r="BC26" s="237"/>
      <c r="BD26" s="237"/>
      <c r="BE26" s="237"/>
      <c r="BF26" s="239"/>
      <c r="BK26" s="146" t="s">
        <v>68</v>
      </c>
      <c r="BL26" s="237">
        <f>BIN2DEC(BL25)</f>
        <v>9</v>
      </c>
      <c r="BM26" s="237"/>
      <c r="BN26" s="237"/>
      <c r="BO26" s="238"/>
      <c r="BP26" s="146" t="s">
        <v>68</v>
      </c>
      <c r="BQ26" s="237" t="str">
        <f>BIN2HEX(BQ25)</f>
        <v>4B</v>
      </c>
      <c r="BR26" s="237"/>
      <c r="BS26" s="237"/>
      <c r="BT26" s="237"/>
      <c r="BU26" s="237"/>
      <c r="BV26" s="237"/>
      <c r="BW26" s="239"/>
    </row>
    <row r="27" spans="1:75" ht="18.600000000000001" thickBot="1" x14ac:dyDescent="0.4"/>
    <row r="28" spans="1:75" x14ac:dyDescent="0.35">
      <c r="AT28" s="121">
        <f>AQ5</f>
        <v>8</v>
      </c>
      <c r="AU28" s="122" t="str">
        <f>AU5</f>
        <v>1</v>
      </c>
      <c r="AV28" s="122" t="str">
        <f t="shared" ref="AV28:AX29" si="85">AV5</f>
        <v>0</v>
      </c>
      <c r="AW28" s="122" t="str">
        <f t="shared" si="85"/>
        <v>0</v>
      </c>
      <c r="AX28" s="147" t="str">
        <f t="shared" si="85"/>
        <v>0</v>
      </c>
      <c r="AY28" s="121">
        <f>AT28</f>
        <v>8</v>
      </c>
      <c r="AZ28" s="122" t="str">
        <f>AZ5</f>
        <v>1</v>
      </c>
      <c r="BA28" s="122" t="str">
        <f t="shared" ref="BA28:BF29" si="86">BA5</f>
        <v>0</v>
      </c>
      <c r="BB28" s="122" t="str">
        <f t="shared" si="86"/>
        <v>0</v>
      </c>
      <c r="BC28" s="122" t="str">
        <f t="shared" si="86"/>
        <v>0</v>
      </c>
      <c r="BD28" s="122" t="str">
        <f t="shared" si="86"/>
        <v>1</v>
      </c>
      <c r="BE28" s="122" t="str">
        <f t="shared" si="86"/>
        <v>1</v>
      </c>
      <c r="BF28" s="123" t="str">
        <f t="shared" si="86"/>
        <v>0</v>
      </c>
      <c r="BK28" s="121">
        <f>BH5</f>
        <v>4</v>
      </c>
      <c r="BL28" s="122" t="str">
        <f>BL5</f>
        <v>0</v>
      </c>
      <c r="BM28" s="122" t="str">
        <f t="shared" ref="BM28:BO29" si="87">BM5</f>
        <v>1</v>
      </c>
      <c r="BN28" s="122" t="str">
        <f t="shared" si="87"/>
        <v>0</v>
      </c>
      <c r="BO28" s="147" t="str">
        <f t="shared" si="87"/>
        <v>0</v>
      </c>
      <c r="BP28" s="121">
        <f>BK28</f>
        <v>4</v>
      </c>
      <c r="BQ28" s="122" t="str">
        <f>BQ5</f>
        <v>0</v>
      </c>
      <c r="BR28" s="122" t="str">
        <f t="shared" ref="BR28:BW29" si="88">BR5</f>
        <v>1</v>
      </c>
      <c r="BS28" s="122" t="str">
        <f t="shared" si="88"/>
        <v>0</v>
      </c>
      <c r="BT28" s="122" t="str">
        <f t="shared" si="88"/>
        <v>0</v>
      </c>
      <c r="BU28" s="122" t="str">
        <f t="shared" si="88"/>
        <v>0</v>
      </c>
      <c r="BV28" s="122" t="str">
        <f t="shared" si="88"/>
        <v>1</v>
      </c>
      <c r="BW28" s="123" t="str">
        <f t="shared" si="88"/>
        <v>1</v>
      </c>
    </row>
    <row r="29" spans="1:75" ht="18.600000000000001" thickBot="1" x14ac:dyDescent="0.4">
      <c r="AT29" s="118">
        <f>AQ6</f>
        <v>6</v>
      </c>
      <c r="AU29" s="117" t="str">
        <f>AU6</f>
        <v>0</v>
      </c>
      <c r="AV29" s="117" t="str">
        <f t="shared" si="85"/>
        <v>1</v>
      </c>
      <c r="AW29" s="117" t="str">
        <f t="shared" si="85"/>
        <v>1</v>
      </c>
      <c r="AX29" s="149" t="str">
        <f t="shared" si="85"/>
        <v>0</v>
      </c>
      <c r="AY29" s="118">
        <f>AT29</f>
        <v>6</v>
      </c>
      <c r="AZ29" s="117" t="str">
        <f>AZ6</f>
        <v>0</v>
      </c>
      <c r="BA29" s="117" t="str">
        <f t="shared" si="86"/>
        <v>1</v>
      </c>
      <c r="BB29" s="117" t="str">
        <f t="shared" si="86"/>
        <v>1</v>
      </c>
      <c r="BC29" s="117" t="str">
        <f t="shared" si="86"/>
        <v>0</v>
      </c>
      <c r="BD29" s="117" t="str">
        <f t="shared" si="86"/>
        <v>1</v>
      </c>
      <c r="BE29" s="117" t="str">
        <f t="shared" si="86"/>
        <v>0</v>
      </c>
      <c r="BF29" s="119" t="str">
        <f t="shared" si="86"/>
        <v>0</v>
      </c>
      <c r="BK29" s="118">
        <f>BH6</f>
        <v>2</v>
      </c>
      <c r="BL29" s="117" t="str">
        <f>BL6</f>
        <v>0</v>
      </c>
      <c r="BM29" s="117" t="str">
        <f t="shared" si="87"/>
        <v>0</v>
      </c>
      <c r="BN29" s="117" t="str">
        <f t="shared" si="87"/>
        <v>1</v>
      </c>
      <c r="BO29" s="149" t="str">
        <f t="shared" si="87"/>
        <v>0</v>
      </c>
      <c r="BP29" s="118">
        <f>BK29</f>
        <v>2</v>
      </c>
      <c r="BQ29" s="117" t="str">
        <f>BQ6</f>
        <v>0</v>
      </c>
      <c r="BR29" s="117" t="str">
        <f t="shared" si="88"/>
        <v>0</v>
      </c>
      <c r="BS29" s="117" t="str">
        <f t="shared" si="88"/>
        <v>1</v>
      </c>
      <c r="BT29" s="117" t="str">
        <f t="shared" si="88"/>
        <v>0</v>
      </c>
      <c r="BU29" s="117" t="str">
        <f t="shared" si="88"/>
        <v>1</v>
      </c>
      <c r="BV29" s="117" t="str">
        <f t="shared" si="88"/>
        <v>1</v>
      </c>
      <c r="BW29" s="119" t="str">
        <f t="shared" si="88"/>
        <v>1</v>
      </c>
    </row>
    <row r="30" spans="1:75" x14ac:dyDescent="0.35">
      <c r="AT30" s="135" t="s">
        <v>120</v>
      </c>
      <c r="AU30" s="117">
        <f>MOD(AU28+AU29,2)</f>
        <v>1</v>
      </c>
      <c r="AV30" s="117">
        <f t="shared" ref="AV30:AX30" si="89">MOD(AV28+AV29,2)</f>
        <v>1</v>
      </c>
      <c r="AW30" s="117">
        <f t="shared" si="89"/>
        <v>1</v>
      </c>
      <c r="AX30" s="149">
        <f t="shared" si="89"/>
        <v>0</v>
      </c>
      <c r="AY30" s="135" t="s">
        <v>120</v>
      </c>
      <c r="AZ30" s="117">
        <f>MOD(AZ28+AZ29,2)</f>
        <v>1</v>
      </c>
      <c r="BA30" s="117">
        <f t="shared" ref="BA30:BF30" si="90">MOD(BA28+BA29,2)</f>
        <v>1</v>
      </c>
      <c r="BB30" s="117">
        <f t="shared" si="90"/>
        <v>1</v>
      </c>
      <c r="BC30" s="117">
        <f t="shared" si="90"/>
        <v>0</v>
      </c>
      <c r="BD30" s="117">
        <f t="shared" si="90"/>
        <v>0</v>
      </c>
      <c r="BE30" s="117">
        <f t="shared" si="90"/>
        <v>1</v>
      </c>
      <c r="BF30" s="119">
        <f t="shared" si="90"/>
        <v>0</v>
      </c>
      <c r="BK30" s="135" t="s">
        <v>120</v>
      </c>
      <c r="BL30" s="117">
        <f>MOD(BL28+BL29,2)</f>
        <v>0</v>
      </c>
      <c r="BM30" s="117">
        <f t="shared" ref="BM30:BO30" si="91">MOD(BM28+BM29,2)</f>
        <v>1</v>
      </c>
      <c r="BN30" s="117">
        <f t="shared" si="91"/>
        <v>1</v>
      </c>
      <c r="BO30" s="149">
        <f t="shared" si="91"/>
        <v>0</v>
      </c>
      <c r="BP30" s="135" t="s">
        <v>120</v>
      </c>
      <c r="BQ30" s="117">
        <f>MOD(BQ28+BQ29,2)</f>
        <v>0</v>
      </c>
      <c r="BR30" s="117">
        <f t="shared" ref="BR30:BW30" si="92">MOD(BR28+BR29,2)</f>
        <v>1</v>
      </c>
      <c r="BS30" s="117">
        <f t="shared" si="92"/>
        <v>1</v>
      </c>
      <c r="BT30" s="117">
        <f t="shared" si="92"/>
        <v>0</v>
      </c>
      <c r="BU30" s="117">
        <f t="shared" si="92"/>
        <v>1</v>
      </c>
      <c r="BV30" s="117">
        <f t="shared" si="92"/>
        <v>0</v>
      </c>
      <c r="BW30" s="119">
        <f t="shared" si="92"/>
        <v>0</v>
      </c>
    </row>
    <row r="31" spans="1:75" x14ac:dyDescent="0.35">
      <c r="AT31" s="142" t="s">
        <v>69</v>
      </c>
      <c r="AU31" s="229" t="str">
        <f>AU30&amp;AV30&amp;AW30&amp;AX30</f>
        <v>1110</v>
      </c>
      <c r="AV31" s="229"/>
      <c r="AW31" s="229"/>
      <c r="AX31" s="235"/>
      <c r="AY31" s="142" t="s">
        <v>69</v>
      </c>
      <c r="AZ31" s="229" t="str">
        <f>AZ30&amp;BA30&amp;BB30&amp;BC30&amp;BD30&amp;BE30&amp;BF30</f>
        <v>1110010</v>
      </c>
      <c r="BA31" s="229"/>
      <c r="BB31" s="229"/>
      <c r="BC31" s="229"/>
      <c r="BD31" s="229"/>
      <c r="BE31" s="229"/>
      <c r="BF31" s="236"/>
      <c r="BK31" s="142" t="s">
        <v>69</v>
      </c>
      <c r="BL31" s="229" t="str">
        <f>BL30&amp;BM30&amp;BN30&amp;BO30</f>
        <v>0110</v>
      </c>
      <c r="BM31" s="229"/>
      <c r="BN31" s="229"/>
      <c r="BO31" s="235"/>
      <c r="BP31" s="142" t="s">
        <v>69</v>
      </c>
      <c r="BQ31" s="229" t="str">
        <f>BQ30&amp;BR30&amp;BS30&amp;BT30&amp;BU30&amp;BV30&amp;BW30</f>
        <v>0110100</v>
      </c>
      <c r="BR31" s="229"/>
      <c r="BS31" s="229"/>
      <c r="BT31" s="229"/>
      <c r="BU31" s="229"/>
      <c r="BV31" s="229"/>
      <c r="BW31" s="236"/>
    </row>
    <row r="32" spans="1:75" ht="18.600000000000001" thickBot="1" x14ac:dyDescent="0.4">
      <c r="AT32" s="146" t="s">
        <v>68</v>
      </c>
      <c r="AU32" s="237">
        <f>BIN2DEC(AU31)</f>
        <v>14</v>
      </c>
      <c r="AV32" s="237"/>
      <c r="AW32" s="237"/>
      <c r="AX32" s="238"/>
      <c r="AY32" s="146" t="s">
        <v>68</v>
      </c>
      <c r="AZ32" s="237" t="str">
        <f>BIN2HEX(AZ31)</f>
        <v>72</v>
      </c>
      <c r="BA32" s="237"/>
      <c r="BB32" s="237"/>
      <c r="BC32" s="237"/>
      <c r="BD32" s="237"/>
      <c r="BE32" s="237"/>
      <c r="BF32" s="239"/>
      <c r="BK32" s="146" t="s">
        <v>68</v>
      </c>
      <c r="BL32" s="237">
        <f>BIN2DEC(BL31)</f>
        <v>6</v>
      </c>
      <c r="BM32" s="237"/>
      <c r="BN32" s="237"/>
      <c r="BO32" s="238"/>
      <c r="BP32" s="146" t="s">
        <v>68</v>
      </c>
      <c r="BQ32" s="237" t="str">
        <f>BIN2HEX(BQ31)</f>
        <v>34</v>
      </c>
      <c r="BR32" s="237"/>
      <c r="BS32" s="237"/>
      <c r="BT32" s="237"/>
      <c r="BU32" s="237"/>
      <c r="BV32" s="237"/>
      <c r="BW32" s="239"/>
    </row>
    <row r="33" spans="1:75" ht="18.600000000000001" thickBot="1" x14ac:dyDescent="0.4"/>
    <row r="34" spans="1:75" x14ac:dyDescent="0.35">
      <c r="AT34" s="121">
        <f>AQ5</f>
        <v>8</v>
      </c>
      <c r="AU34" s="122" t="str">
        <f>AU5</f>
        <v>1</v>
      </c>
      <c r="AV34" s="122" t="str">
        <f t="shared" ref="AV34:AX34" si="93">AV5</f>
        <v>0</v>
      </c>
      <c r="AW34" s="122" t="str">
        <f t="shared" si="93"/>
        <v>0</v>
      </c>
      <c r="AX34" s="122" t="str">
        <f t="shared" si="93"/>
        <v>0</v>
      </c>
      <c r="AY34" s="121">
        <f>AT34</f>
        <v>8</v>
      </c>
      <c r="AZ34" s="122" t="str">
        <f>AZ5</f>
        <v>1</v>
      </c>
      <c r="BA34" s="122" t="str">
        <f t="shared" ref="BA34:BF34" si="94">BA5</f>
        <v>0</v>
      </c>
      <c r="BB34" s="122" t="str">
        <f t="shared" si="94"/>
        <v>0</v>
      </c>
      <c r="BC34" s="122" t="str">
        <f t="shared" si="94"/>
        <v>0</v>
      </c>
      <c r="BD34" s="122" t="str">
        <f t="shared" si="94"/>
        <v>1</v>
      </c>
      <c r="BE34" s="122" t="str">
        <f t="shared" si="94"/>
        <v>1</v>
      </c>
      <c r="BF34" s="123" t="str">
        <f t="shared" si="94"/>
        <v>0</v>
      </c>
      <c r="BK34" s="121">
        <f>BH5</f>
        <v>4</v>
      </c>
      <c r="BL34" s="122" t="str">
        <f>BL5</f>
        <v>0</v>
      </c>
      <c r="BM34" s="122" t="str">
        <f t="shared" ref="BM34:BO34" si="95">BM5</f>
        <v>1</v>
      </c>
      <c r="BN34" s="122" t="str">
        <f t="shared" si="95"/>
        <v>0</v>
      </c>
      <c r="BO34" s="122" t="str">
        <f t="shared" si="95"/>
        <v>0</v>
      </c>
      <c r="BP34" s="121">
        <f>BK34</f>
        <v>4</v>
      </c>
      <c r="BQ34" s="122" t="str">
        <f>BQ5</f>
        <v>0</v>
      </c>
      <c r="BR34" s="122" t="str">
        <f t="shared" ref="BR34:BW34" si="96">BR5</f>
        <v>1</v>
      </c>
      <c r="BS34" s="122" t="str">
        <f t="shared" si="96"/>
        <v>0</v>
      </c>
      <c r="BT34" s="122" t="str">
        <f t="shared" si="96"/>
        <v>0</v>
      </c>
      <c r="BU34" s="122" t="str">
        <f t="shared" si="96"/>
        <v>0</v>
      </c>
      <c r="BV34" s="122" t="str">
        <f t="shared" si="96"/>
        <v>1</v>
      </c>
      <c r="BW34" s="123" t="str">
        <f t="shared" si="96"/>
        <v>1</v>
      </c>
    </row>
    <row r="35" spans="1:75" ht="18.600000000000001" thickBot="1" x14ac:dyDescent="0.4">
      <c r="AT35" s="118">
        <f>AQ7</f>
        <v>3</v>
      </c>
      <c r="AU35" s="117" t="str">
        <f>AU7</f>
        <v>0</v>
      </c>
      <c r="AV35" s="117" t="str">
        <f t="shared" ref="AV35:AX35" si="97">AV7</f>
        <v>0</v>
      </c>
      <c r="AW35" s="117" t="str">
        <f t="shared" si="97"/>
        <v>1</v>
      </c>
      <c r="AX35" s="117" t="str">
        <f t="shared" si="97"/>
        <v>1</v>
      </c>
      <c r="AY35" s="118">
        <f>AT35</f>
        <v>3</v>
      </c>
      <c r="AZ35" s="117" t="str">
        <f>AZ7</f>
        <v>0</v>
      </c>
      <c r="BA35" s="117" t="str">
        <f t="shared" ref="BA35:BF35" si="98">BA7</f>
        <v>0</v>
      </c>
      <c r="BB35" s="117" t="str">
        <f t="shared" si="98"/>
        <v>1</v>
      </c>
      <c r="BC35" s="117" t="str">
        <f t="shared" si="98"/>
        <v>1</v>
      </c>
      <c r="BD35" s="117" t="str">
        <f t="shared" si="98"/>
        <v>0</v>
      </c>
      <c r="BE35" s="117" t="str">
        <f t="shared" si="98"/>
        <v>1</v>
      </c>
      <c r="BF35" s="119" t="str">
        <f t="shared" si="98"/>
        <v>0</v>
      </c>
      <c r="BK35" s="118">
        <f>BH7</f>
        <v>1</v>
      </c>
      <c r="BL35" s="117" t="str">
        <f>BL7</f>
        <v>0</v>
      </c>
      <c r="BM35" s="117" t="str">
        <f t="shared" ref="BM35:BO35" si="99">BM7</f>
        <v>0</v>
      </c>
      <c r="BN35" s="117" t="str">
        <f t="shared" si="99"/>
        <v>0</v>
      </c>
      <c r="BO35" s="117" t="str">
        <f t="shared" si="99"/>
        <v>1</v>
      </c>
      <c r="BP35" s="118">
        <f>BK35</f>
        <v>1</v>
      </c>
      <c r="BQ35" s="117" t="str">
        <f>BQ7</f>
        <v>0</v>
      </c>
      <c r="BR35" s="117" t="str">
        <f t="shared" ref="BR35:BW35" si="100">BR7</f>
        <v>0</v>
      </c>
      <c r="BS35" s="117" t="str">
        <f t="shared" si="100"/>
        <v>0</v>
      </c>
      <c r="BT35" s="117" t="str">
        <f t="shared" si="100"/>
        <v>1</v>
      </c>
      <c r="BU35" s="117" t="str">
        <f t="shared" si="100"/>
        <v>1</v>
      </c>
      <c r="BV35" s="117" t="str">
        <f t="shared" si="100"/>
        <v>0</v>
      </c>
      <c r="BW35" s="119" t="str">
        <f t="shared" si="100"/>
        <v>1</v>
      </c>
    </row>
    <row r="36" spans="1:75" x14ac:dyDescent="0.35">
      <c r="AT36" s="135" t="s">
        <v>120</v>
      </c>
      <c r="AU36" s="117">
        <f>MOD(AU34+AU35,2)</f>
        <v>1</v>
      </c>
      <c r="AV36" s="117">
        <f t="shared" ref="AV36:AX36" si="101">MOD(AV34+AV35,2)</f>
        <v>0</v>
      </c>
      <c r="AW36" s="117">
        <f t="shared" si="101"/>
        <v>1</v>
      </c>
      <c r="AX36" s="149">
        <f t="shared" si="101"/>
        <v>1</v>
      </c>
      <c r="AY36" s="135" t="s">
        <v>120</v>
      </c>
      <c r="AZ36" s="117">
        <f>MOD(AZ34+AZ35,2)</f>
        <v>1</v>
      </c>
      <c r="BA36" s="117">
        <f t="shared" ref="BA36:BF36" si="102">MOD(BA34+BA35,2)</f>
        <v>0</v>
      </c>
      <c r="BB36" s="117">
        <f t="shared" si="102"/>
        <v>1</v>
      </c>
      <c r="BC36" s="117">
        <f t="shared" si="102"/>
        <v>1</v>
      </c>
      <c r="BD36" s="117">
        <f t="shared" si="102"/>
        <v>1</v>
      </c>
      <c r="BE36" s="117">
        <f t="shared" si="102"/>
        <v>0</v>
      </c>
      <c r="BF36" s="119">
        <f t="shared" si="102"/>
        <v>0</v>
      </c>
      <c r="BK36" s="135" t="s">
        <v>120</v>
      </c>
      <c r="BL36" s="117">
        <f>MOD(BL34+BL35,2)</f>
        <v>0</v>
      </c>
      <c r="BM36" s="117">
        <f t="shared" ref="BM36:BO36" si="103">MOD(BM34+BM35,2)</f>
        <v>1</v>
      </c>
      <c r="BN36" s="117">
        <f t="shared" si="103"/>
        <v>0</v>
      </c>
      <c r="BO36" s="149">
        <f t="shared" si="103"/>
        <v>1</v>
      </c>
      <c r="BP36" s="135" t="s">
        <v>120</v>
      </c>
      <c r="BQ36" s="117">
        <f>MOD(BQ34+BQ35,2)</f>
        <v>0</v>
      </c>
      <c r="BR36" s="117">
        <f t="shared" ref="BR36:BW36" si="104">MOD(BR34+BR35,2)</f>
        <v>1</v>
      </c>
      <c r="BS36" s="117">
        <f t="shared" si="104"/>
        <v>0</v>
      </c>
      <c r="BT36" s="117">
        <f t="shared" si="104"/>
        <v>1</v>
      </c>
      <c r="BU36" s="117">
        <f t="shared" si="104"/>
        <v>1</v>
      </c>
      <c r="BV36" s="117">
        <f t="shared" si="104"/>
        <v>1</v>
      </c>
      <c r="BW36" s="119">
        <f t="shared" si="104"/>
        <v>0</v>
      </c>
    </row>
    <row r="37" spans="1:75" x14ac:dyDescent="0.35">
      <c r="AT37" s="142" t="s">
        <v>69</v>
      </c>
      <c r="AU37" s="229" t="str">
        <f>AU36&amp;AV36&amp;AW36&amp;AX36</f>
        <v>1011</v>
      </c>
      <c r="AV37" s="229"/>
      <c r="AW37" s="229"/>
      <c r="AX37" s="235"/>
      <c r="AY37" s="142" t="s">
        <v>69</v>
      </c>
      <c r="AZ37" s="229" t="str">
        <f>AZ36&amp;BA36&amp;BB36&amp;BC36&amp;BD36&amp;BE36&amp;BF36</f>
        <v>1011100</v>
      </c>
      <c r="BA37" s="229"/>
      <c r="BB37" s="229"/>
      <c r="BC37" s="229"/>
      <c r="BD37" s="229"/>
      <c r="BE37" s="229"/>
      <c r="BF37" s="236"/>
      <c r="BK37" s="142" t="s">
        <v>69</v>
      </c>
      <c r="BL37" s="229" t="str">
        <f>BL36&amp;BM36&amp;BN36&amp;BO36</f>
        <v>0101</v>
      </c>
      <c r="BM37" s="229"/>
      <c r="BN37" s="229"/>
      <c r="BO37" s="235"/>
      <c r="BP37" s="142" t="s">
        <v>69</v>
      </c>
      <c r="BQ37" s="229" t="str">
        <f>BQ36&amp;BR36&amp;BS36&amp;BT36&amp;BU36&amp;BV36&amp;BW36</f>
        <v>0101110</v>
      </c>
      <c r="BR37" s="229"/>
      <c r="BS37" s="229"/>
      <c r="BT37" s="229"/>
      <c r="BU37" s="229"/>
      <c r="BV37" s="229"/>
      <c r="BW37" s="236"/>
    </row>
    <row r="38" spans="1:75" ht="18.600000000000001" thickBot="1" x14ac:dyDescent="0.4">
      <c r="AT38" s="146" t="s">
        <v>68</v>
      </c>
      <c r="AU38" s="237">
        <f>BIN2DEC(AU37)</f>
        <v>11</v>
      </c>
      <c r="AV38" s="237"/>
      <c r="AW38" s="237"/>
      <c r="AX38" s="238"/>
      <c r="AY38" s="146" t="s">
        <v>68</v>
      </c>
      <c r="AZ38" s="237" t="str">
        <f>BIN2HEX(AZ37)</f>
        <v>5C</v>
      </c>
      <c r="BA38" s="237"/>
      <c r="BB38" s="237"/>
      <c r="BC38" s="237"/>
      <c r="BD38" s="237"/>
      <c r="BE38" s="237"/>
      <c r="BF38" s="239"/>
      <c r="BK38" s="146" t="s">
        <v>68</v>
      </c>
      <c r="BL38" s="237">
        <f>BIN2DEC(BL37)</f>
        <v>5</v>
      </c>
      <c r="BM38" s="237"/>
      <c r="BN38" s="237"/>
      <c r="BO38" s="238"/>
      <c r="BP38" s="146" t="s">
        <v>68</v>
      </c>
      <c r="BQ38" s="237" t="str">
        <f>BIN2HEX(BQ37)</f>
        <v>2E</v>
      </c>
      <c r="BR38" s="237"/>
      <c r="BS38" s="237"/>
      <c r="BT38" s="237"/>
      <c r="BU38" s="237"/>
      <c r="BV38" s="237"/>
      <c r="BW38" s="239"/>
    </row>
    <row r="39" spans="1:75" ht="18.600000000000001" thickBot="1" x14ac:dyDescent="0.4"/>
    <row r="40" spans="1:75" x14ac:dyDescent="0.35">
      <c r="AT40" s="121">
        <f>AQ6</f>
        <v>6</v>
      </c>
      <c r="AU40" s="122" t="str">
        <f>AU6</f>
        <v>0</v>
      </c>
      <c r="AV40" s="122" t="str">
        <f t="shared" ref="AV40:AW41" si="105">AV6</f>
        <v>1</v>
      </c>
      <c r="AW40" s="122" t="str">
        <f t="shared" si="105"/>
        <v>1</v>
      </c>
      <c r="AX40" s="122" t="str">
        <f>AX6</f>
        <v>0</v>
      </c>
      <c r="AY40" s="121">
        <f>AT40</f>
        <v>6</v>
      </c>
      <c r="AZ40" s="122" t="str">
        <f>AZ6</f>
        <v>0</v>
      </c>
      <c r="BA40" s="122" t="str">
        <f t="shared" ref="BA40:BF41" si="106">BA6</f>
        <v>1</v>
      </c>
      <c r="BB40" s="122" t="str">
        <f t="shared" si="106"/>
        <v>1</v>
      </c>
      <c r="BC40" s="122" t="str">
        <f t="shared" si="106"/>
        <v>0</v>
      </c>
      <c r="BD40" s="122" t="str">
        <f t="shared" si="106"/>
        <v>1</v>
      </c>
      <c r="BE40" s="122" t="str">
        <f t="shared" si="106"/>
        <v>0</v>
      </c>
      <c r="BF40" s="123" t="str">
        <f t="shared" si="106"/>
        <v>0</v>
      </c>
      <c r="BK40" s="121">
        <f>BH6</f>
        <v>2</v>
      </c>
      <c r="BL40" s="122" t="str">
        <f>BL6</f>
        <v>0</v>
      </c>
      <c r="BM40" s="122" t="str">
        <f t="shared" ref="BM40:BN41" si="107">BM6</f>
        <v>0</v>
      </c>
      <c r="BN40" s="122" t="str">
        <f t="shared" si="107"/>
        <v>1</v>
      </c>
      <c r="BO40" s="122" t="str">
        <f>BO6</f>
        <v>0</v>
      </c>
      <c r="BP40" s="121">
        <f>BK40</f>
        <v>2</v>
      </c>
      <c r="BQ40" s="122" t="str">
        <f>BQ6</f>
        <v>0</v>
      </c>
      <c r="BR40" s="122" t="str">
        <f t="shared" ref="BR40:BW41" si="108">BR6</f>
        <v>0</v>
      </c>
      <c r="BS40" s="122" t="str">
        <f t="shared" si="108"/>
        <v>1</v>
      </c>
      <c r="BT40" s="122" t="str">
        <f t="shared" si="108"/>
        <v>0</v>
      </c>
      <c r="BU40" s="122" t="str">
        <f t="shared" si="108"/>
        <v>1</v>
      </c>
      <c r="BV40" s="122" t="str">
        <f t="shared" si="108"/>
        <v>1</v>
      </c>
      <c r="BW40" s="123" t="str">
        <f t="shared" si="108"/>
        <v>1</v>
      </c>
    </row>
    <row r="41" spans="1:75" ht="18.600000000000001" thickBot="1" x14ac:dyDescent="0.4">
      <c r="AT41" s="118">
        <f>AQ7</f>
        <v>3</v>
      </c>
      <c r="AU41" s="117" t="str">
        <f>AU7</f>
        <v>0</v>
      </c>
      <c r="AV41" s="117" t="str">
        <f t="shared" si="105"/>
        <v>0</v>
      </c>
      <c r="AW41" s="117" t="str">
        <f t="shared" si="105"/>
        <v>1</v>
      </c>
      <c r="AX41" s="117" t="str">
        <f>AX7</f>
        <v>1</v>
      </c>
      <c r="AY41" s="118">
        <f>AT41</f>
        <v>3</v>
      </c>
      <c r="AZ41" s="117" t="str">
        <f>AZ7</f>
        <v>0</v>
      </c>
      <c r="BA41" s="117" t="str">
        <f t="shared" si="106"/>
        <v>0</v>
      </c>
      <c r="BB41" s="117" t="str">
        <f t="shared" si="106"/>
        <v>1</v>
      </c>
      <c r="BC41" s="117" t="str">
        <f t="shared" si="106"/>
        <v>1</v>
      </c>
      <c r="BD41" s="117" t="str">
        <f t="shared" si="106"/>
        <v>0</v>
      </c>
      <c r="BE41" s="117" t="str">
        <f t="shared" si="106"/>
        <v>1</v>
      </c>
      <c r="BF41" s="119" t="str">
        <f t="shared" si="106"/>
        <v>0</v>
      </c>
      <c r="BK41" s="118">
        <f>BH7</f>
        <v>1</v>
      </c>
      <c r="BL41" s="117" t="str">
        <f>BL7</f>
        <v>0</v>
      </c>
      <c r="BM41" s="117" t="str">
        <f t="shared" si="107"/>
        <v>0</v>
      </c>
      <c r="BN41" s="117" t="str">
        <f t="shared" si="107"/>
        <v>0</v>
      </c>
      <c r="BO41" s="117" t="str">
        <f>BO7</f>
        <v>1</v>
      </c>
      <c r="BP41" s="118">
        <f>BK41</f>
        <v>1</v>
      </c>
      <c r="BQ41" s="117" t="str">
        <f>BQ7</f>
        <v>0</v>
      </c>
      <c r="BR41" s="117" t="str">
        <f t="shared" si="108"/>
        <v>0</v>
      </c>
      <c r="BS41" s="117" t="str">
        <f t="shared" si="108"/>
        <v>0</v>
      </c>
      <c r="BT41" s="117" t="str">
        <f t="shared" si="108"/>
        <v>1</v>
      </c>
      <c r="BU41" s="117" t="str">
        <f t="shared" si="108"/>
        <v>1</v>
      </c>
      <c r="BV41" s="117" t="str">
        <f t="shared" si="108"/>
        <v>0</v>
      </c>
      <c r="BW41" s="119" t="str">
        <f t="shared" si="108"/>
        <v>1</v>
      </c>
    </row>
    <row r="42" spans="1:75" ht="18.600000000000001" thickBot="1" x14ac:dyDescent="0.4">
      <c r="A42" s="58"/>
      <c r="E42" s="3">
        <v>0</v>
      </c>
      <c r="F42" s="3">
        <v>1</v>
      </c>
      <c r="G42" s="3">
        <v>2</v>
      </c>
      <c r="H42" s="3">
        <v>3</v>
      </c>
      <c r="I42" s="3">
        <v>4</v>
      </c>
      <c r="J42" s="3">
        <v>0</v>
      </c>
      <c r="K42" s="3">
        <v>1</v>
      </c>
      <c r="L42" s="3">
        <v>2</v>
      </c>
      <c r="M42" s="3">
        <v>3</v>
      </c>
      <c r="N42" s="3">
        <v>4</v>
      </c>
      <c r="O42" s="3">
        <v>5</v>
      </c>
      <c r="P42" s="3">
        <v>6</v>
      </c>
      <c r="Q42" s="3">
        <v>7</v>
      </c>
      <c r="AT42" s="135" t="s">
        <v>120</v>
      </c>
      <c r="AU42" s="117">
        <f>MOD(AU40+AU41,2)</f>
        <v>0</v>
      </c>
      <c r="AV42" s="117">
        <f t="shared" ref="AV42:AX42" si="109">MOD(AV40+AV41,2)</f>
        <v>1</v>
      </c>
      <c r="AW42" s="117">
        <f t="shared" si="109"/>
        <v>0</v>
      </c>
      <c r="AX42" s="149">
        <f t="shared" si="109"/>
        <v>1</v>
      </c>
      <c r="AY42" s="135" t="s">
        <v>120</v>
      </c>
      <c r="AZ42" s="117">
        <f>MOD(AZ40+AZ41,2)</f>
        <v>0</v>
      </c>
      <c r="BA42" s="117">
        <f t="shared" ref="BA42:BF42" si="110">MOD(BA40+BA41,2)</f>
        <v>1</v>
      </c>
      <c r="BB42" s="117">
        <f t="shared" si="110"/>
        <v>0</v>
      </c>
      <c r="BC42" s="117">
        <f t="shared" si="110"/>
        <v>1</v>
      </c>
      <c r="BD42" s="117">
        <f t="shared" si="110"/>
        <v>1</v>
      </c>
      <c r="BE42" s="117">
        <f t="shared" si="110"/>
        <v>1</v>
      </c>
      <c r="BF42" s="119">
        <f t="shared" si="110"/>
        <v>0</v>
      </c>
      <c r="BK42" s="135" t="s">
        <v>120</v>
      </c>
      <c r="BL42" s="117">
        <f>MOD(BL40+BL41,2)</f>
        <v>0</v>
      </c>
      <c r="BM42" s="117">
        <f t="shared" ref="BM42:BO42" si="111">MOD(BM40+BM41,2)</f>
        <v>0</v>
      </c>
      <c r="BN42" s="117">
        <f t="shared" si="111"/>
        <v>1</v>
      </c>
      <c r="BO42" s="149">
        <f t="shared" si="111"/>
        <v>1</v>
      </c>
      <c r="BP42" s="135" t="s">
        <v>120</v>
      </c>
      <c r="BQ42" s="117">
        <f>MOD(BQ40+BQ41,2)</f>
        <v>0</v>
      </c>
      <c r="BR42" s="117">
        <f t="shared" ref="BR42:BW42" si="112">MOD(BR40+BR41,2)</f>
        <v>0</v>
      </c>
      <c r="BS42" s="117">
        <f t="shared" si="112"/>
        <v>1</v>
      </c>
      <c r="BT42" s="117">
        <f t="shared" si="112"/>
        <v>1</v>
      </c>
      <c r="BU42" s="117">
        <f t="shared" si="112"/>
        <v>0</v>
      </c>
      <c r="BV42" s="117">
        <f t="shared" si="112"/>
        <v>1</v>
      </c>
      <c r="BW42" s="119">
        <f t="shared" si="112"/>
        <v>0</v>
      </c>
    </row>
    <row r="43" spans="1:75" ht="18.600000000000001" thickBot="1" x14ac:dyDescent="0.4">
      <c r="A43" s="93" t="s">
        <v>80</v>
      </c>
      <c r="B43" s="151" t="s">
        <v>185</v>
      </c>
      <c r="C43" s="59" t="s">
        <v>115</v>
      </c>
      <c r="E43" s="245" t="s">
        <v>115</v>
      </c>
      <c r="F43" s="246"/>
      <c r="G43" s="246"/>
      <c r="H43" s="246"/>
      <c r="I43" s="247"/>
      <c r="J43" s="245" t="s">
        <v>116</v>
      </c>
      <c r="K43" s="246"/>
      <c r="L43" s="246"/>
      <c r="M43" s="246"/>
      <c r="N43" s="246"/>
      <c r="O43" s="246"/>
      <c r="P43" s="246"/>
      <c r="Q43" s="247"/>
      <c r="AT43" s="142" t="s">
        <v>69</v>
      </c>
      <c r="AU43" s="229" t="str">
        <f>AU42&amp;AV42&amp;AW42&amp;AX42</f>
        <v>0101</v>
      </c>
      <c r="AV43" s="229"/>
      <c r="AW43" s="229"/>
      <c r="AX43" s="235"/>
      <c r="AY43" s="142" t="s">
        <v>69</v>
      </c>
      <c r="AZ43" s="229" t="str">
        <f>AZ42&amp;BA42&amp;BB42&amp;BC42&amp;BD42&amp;BE42&amp;BF42</f>
        <v>0101110</v>
      </c>
      <c r="BA43" s="229"/>
      <c r="BB43" s="229"/>
      <c r="BC43" s="229"/>
      <c r="BD43" s="229"/>
      <c r="BE43" s="229"/>
      <c r="BF43" s="236"/>
      <c r="BK43" s="142" t="s">
        <v>69</v>
      </c>
      <c r="BL43" s="229" t="str">
        <f>BL42&amp;BM42&amp;BN42&amp;BO42</f>
        <v>0011</v>
      </c>
      <c r="BM43" s="229"/>
      <c r="BN43" s="229"/>
      <c r="BO43" s="235"/>
      <c r="BP43" s="142" t="s">
        <v>69</v>
      </c>
      <c r="BQ43" s="229" t="str">
        <f>BQ42&amp;BR42&amp;BS42&amp;BT42&amp;BU42&amp;BV42&amp;BW42</f>
        <v>0011010</v>
      </c>
      <c r="BR43" s="229"/>
      <c r="BS43" s="229"/>
      <c r="BT43" s="229"/>
      <c r="BU43" s="229"/>
      <c r="BV43" s="229"/>
      <c r="BW43" s="236"/>
    </row>
    <row r="44" spans="1:75" ht="18.600000000000001" thickBot="1" x14ac:dyDescent="0.4">
      <c r="A44" s="93">
        <v>1</v>
      </c>
      <c r="B44" s="288" t="s">
        <v>173</v>
      </c>
      <c r="C44" s="59" t="str">
        <f>MID($B$46,A44,1)</f>
        <v>1</v>
      </c>
      <c r="E44" s="294">
        <v>8</v>
      </c>
      <c r="F44" s="209" t="str">
        <f>MID($B50,F$42,1)</f>
        <v>1</v>
      </c>
      <c r="G44" s="209" t="str">
        <f>MID($B50,G$42,1)</f>
        <v>0</v>
      </c>
      <c r="H44" s="209" t="str">
        <f>MID($B50,H$42,1)</f>
        <v>0</v>
      </c>
      <c r="I44" s="210" t="str">
        <f>MID($B50,I$42,1)</f>
        <v>0</v>
      </c>
      <c r="J44" s="294">
        <v>8</v>
      </c>
      <c r="K44" s="209" t="str">
        <f>MID($C50,K$42,1)</f>
        <v>1</v>
      </c>
      <c r="L44" s="209" t="str">
        <f>MID($C50,L$42,1)</f>
        <v>0</v>
      </c>
      <c r="M44" s="209" t="str">
        <f>MID($C50,M$42,1)</f>
        <v>0</v>
      </c>
      <c r="N44" s="209" t="str">
        <f>MID($C50,N$42,1)</f>
        <v>0</v>
      </c>
      <c r="O44" s="209" t="str">
        <f>MID($C50,O$42,1)</f>
        <v>1</v>
      </c>
      <c r="P44" s="209" t="str">
        <f>MID($C50,P$42,1)</f>
        <v>1</v>
      </c>
      <c r="Q44" s="210" t="str">
        <f>MID($C50,Q$42,1)</f>
        <v>0</v>
      </c>
      <c r="AT44" s="146" t="s">
        <v>68</v>
      </c>
      <c r="AU44" s="237">
        <f>BIN2DEC(AU43)</f>
        <v>5</v>
      </c>
      <c r="AV44" s="237"/>
      <c r="AW44" s="237"/>
      <c r="AX44" s="238"/>
      <c r="AY44" s="146" t="s">
        <v>68</v>
      </c>
      <c r="AZ44" s="237" t="str">
        <f>BIN2HEX(AZ43)</f>
        <v>2E</v>
      </c>
      <c r="BA44" s="237"/>
      <c r="BB44" s="237"/>
      <c r="BC44" s="237"/>
      <c r="BD44" s="237"/>
      <c r="BE44" s="237"/>
      <c r="BF44" s="239"/>
      <c r="BK44" s="146" t="s">
        <v>68</v>
      </c>
      <c r="BL44" s="237">
        <f>BIN2DEC(BL43)</f>
        <v>3</v>
      </c>
      <c r="BM44" s="237"/>
      <c r="BN44" s="237"/>
      <c r="BO44" s="238"/>
      <c r="BP44" s="146" t="s">
        <v>68</v>
      </c>
      <c r="BQ44" s="237" t="str">
        <f>BIN2HEX(BQ43)</f>
        <v>1A</v>
      </c>
      <c r="BR44" s="237"/>
      <c r="BS44" s="237"/>
      <c r="BT44" s="237"/>
      <c r="BU44" s="237"/>
      <c r="BV44" s="237"/>
      <c r="BW44" s="239"/>
    </row>
    <row r="45" spans="1:75" x14ac:dyDescent="0.35">
      <c r="A45" s="93">
        <v>2</v>
      </c>
      <c r="B45" s="174" t="s">
        <v>186</v>
      </c>
      <c r="C45" s="59" t="str">
        <f>MID($B$46,A45,1)</f>
        <v>0</v>
      </c>
      <c r="E45" s="94">
        <v>4</v>
      </c>
      <c r="F45" s="93" t="str">
        <f>MID($B51,F$42,1)</f>
        <v>0</v>
      </c>
      <c r="G45" s="93" t="str">
        <f>MID($B51,G$42,1)</f>
        <v>1</v>
      </c>
      <c r="H45" s="93" t="str">
        <f>MID($B51,H$42,1)</f>
        <v>0</v>
      </c>
      <c r="I45" s="158" t="str">
        <f>MID($B51,I$42,1)</f>
        <v>0</v>
      </c>
      <c r="J45" s="94">
        <v>4</v>
      </c>
      <c r="K45" s="93" t="str">
        <f>MID($C51,K$42,1)</f>
        <v>0</v>
      </c>
      <c r="L45" s="93" t="str">
        <f>MID($C51,L$42,1)</f>
        <v>1</v>
      </c>
      <c r="M45" s="93" t="str">
        <f>MID($C51,M$42,1)</f>
        <v>0</v>
      </c>
      <c r="N45" s="93" t="str">
        <f>MID($C51,N$42,1)</f>
        <v>0</v>
      </c>
      <c r="O45" s="93" t="str">
        <f>MID($C51,O$42,1)</f>
        <v>0</v>
      </c>
      <c r="P45" s="93" t="str">
        <f>MID($C51,P$42,1)</f>
        <v>1</v>
      </c>
      <c r="Q45" s="158" t="str">
        <f>MID($C51,Q$42,1)</f>
        <v>1</v>
      </c>
    </row>
    <row r="46" spans="1:75" x14ac:dyDescent="0.35">
      <c r="A46" s="93">
        <v>3</v>
      </c>
      <c r="B46" s="174" t="str">
        <f>HEX2BIN(B44)</f>
        <v>1010</v>
      </c>
      <c r="C46" s="59" t="str">
        <f>MID($B$46,A46,1)</f>
        <v>1</v>
      </c>
      <c r="E46" s="94">
        <v>2</v>
      </c>
      <c r="F46" s="93" t="str">
        <f>MID($B52,F$42,1)</f>
        <v>0</v>
      </c>
      <c r="G46" s="93" t="str">
        <f>MID($B52,G$42,1)</f>
        <v>0</v>
      </c>
      <c r="H46" s="93" t="str">
        <f>MID($B52,H$42,1)</f>
        <v>1</v>
      </c>
      <c r="I46" s="158" t="str">
        <f>MID($B52,I$42,1)</f>
        <v>0</v>
      </c>
      <c r="J46" s="94">
        <v>2</v>
      </c>
      <c r="K46" s="93" t="str">
        <f>MID($C52,K$42,1)</f>
        <v>0</v>
      </c>
      <c r="L46" s="93" t="str">
        <f>MID($C52,L$42,1)</f>
        <v>0</v>
      </c>
      <c r="M46" s="93" t="str">
        <f>MID($C52,M$42,1)</f>
        <v>1</v>
      </c>
      <c r="N46" s="93" t="str">
        <f>MID($C52,N$42,1)</f>
        <v>0</v>
      </c>
      <c r="O46" s="93" t="str">
        <f>MID($C52,O$42,1)</f>
        <v>1</v>
      </c>
      <c r="P46" s="93" t="str">
        <f>MID($C52,P$42,1)</f>
        <v>1</v>
      </c>
      <c r="Q46" s="158" t="str">
        <f>MID($C52,Q$42,1)</f>
        <v>1</v>
      </c>
    </row>
    <row r="47" spans="1:75" x14ac:dyDescent="0.35">
      <c r="A47" s="93">
        <v>4</v>
      </c>
      <c r="B47" s="117"/>
      <c r="C47" s="59" t="str">
        <f>MID($B$46,A47,1)</f>
        <v>0</v>
      </c>
      <c r="E47" s="94">
        <v>1</v>
      </c>
      <c r="F47" s="93" t="str">
        <f>MID($B53,F$42,1)</f>
        <v>0</v>
      </c>
      <c r="G47" s="93" t="str">
        <f>MID($B53,G$42,1)</f>
        <v>0</v>
      </c>
      <c r="H47" s="93" t="str">
        <f>MID($B53,H$42,1)</f>
        <v>0</v>
      </c>
      <c r="I47" s="158" t="str">
        <f>MID($B53,I$42,1)</f>
        <v>1</v>
      </c>
      <c r="J47" s="94">
        <v>1</v>
      </c>
      <c r="K47" s="93" t="str">
        <f>MID($C53,K$42,1)</f>
        <v>0</v>
      </c>
      <c r="L47" s="93" t="str">
        <f>MID($C53,L$42,1)</f>
        <v>0</v>
      </c>
      <c r="M47" s="93" t="str">
        <f>MID($C53,M$42,1)</f>
        <v>0</v>
      </c>
      <c r="N47" s="93" t="str">
        <f>MID($C53,N$42,1)</f>
        <v>1</v>
      </c>
      <c r="O47" s="93" t="str">
        <f>MID($C53,O$42,1)</f>
        <v>1</v>
      </c>
      <c r="P47" s="93" t="str">
        <f>MID($C53,P$42,1)</f>
        <v>0</v>
      </c>
      <c r="Q47" s="158" t="str">
        <f>MID($C53,Q$42,1)</f>
        <v>1</v>
      </c>
    </row>
    <row r="48" spans="1:75" ht="18.600000000000001" thickBot="1" x14ac:dyDescent="0.4">
      <c r="A48" s="58"/>
      <c r="C48" s="57"/>
      <c r="E48" s="292" t="s">
        <v>120</v>
      </c>
      <c r="F48" s="59">
        <f>MOD(F44+F45,2)</f>
        <v>1</v>
      </c>
      <c r="G48" s="59">
        <f>MOD(G44+G45,2)</f>
        <v>1</v>
      </c>
      <c r="H48" s="59">
        <f>MOD(H44+H45,2)</f>
        <v>0</v>
      </c>
      <c r="I48" s="141">
        <f>MOD(I44+I45,2)</f>
        <v>0</v>
      </c>
      <c r="J48" s="292" t="s">
        <v>120</v>
      </c>
      <c r="K48" s="59">
        <f>MOD(K44+K45,2)</f>
        <v>1</v>
      </c>
      <c r="L48" s="59">
        <f>MOD(L44+L45,2)</f>
        <v>1</v>
      </c>
      <c r="M48" s="59">
        <f>MOD(M44+M45,2)</f>
        <v>0</v>
      </c>
      <c r="N48" s="59">
        <f>MOD(N44+N45,2)</f>
        <v>0</v>
      </c>
      <c r="O48" s="59">
        <f>MOD(O44+O45,2)</f>
        <v>1</v>
      </c>
      <c r="P48" s="59">
        <f>MOD(P44+P45,2)</f>
        <v>0</v>
      </c>
      <c r="Q48" s="141">
        <f>MOD(Q44+Q45,2)</f>
        <v>1</v>
      </c>
    </row>
    <row r="49" spans="1:17" x14ac:dyDescent="0.35">
      <c r="A49" s="289" t="s">
        <v>68</v>
      </c>
      <c r="B49" s="290" t="s">
        <v>113</v>
      </c>
      <c r="C49" s="291" t="s">
        <v>114</v>
      </c>
      <c r="E49" s="292" t="s">
        <v>69</v>
      </c>
      <c r="F49" s="229" t="str">
        <f>F48&amp;G48&amp;H48&amp;I48</f>
        <v>1100</v>
      </c>
      <c r="G49" s="229"/>
      <c r="H49" s="229"/>
      <c r="I49" s="236"/>
      <c r="J49" s="292" t="s">
        <v>69</v>
      </c>
      <c r="K49" s="229" t="str">
        <f>K48&amp;L48&amp;M48&amp;N48&amp;"+"&amp;O48&amp;P48&amp;Q48</f>
        <v>1100+101</v>
      </c>
      <c r="L49" s="229"/>
      <c r="M49" s="229"/>
      <c r="N49" s="229"/>
      <c r="O49" s="229"/>
      <c r="P49" s="229"/>
      <c r="Q49" s="236"/>
    </row>
    <row r="50" spans="1:17" ht="18.600000000000001" thickBot="1" x14ac:dyDescent="0.4">
      <c r="A50" s="140">
        <v>8</v>
      </c>
      <c r="B50" s="59" t="str">
        <f>DEC2BIN(A50,4)</f>
        <v>1000</v>
      </c>
      <c r="C50" s="141" t="str">
        <f>VLOOKUP(B50,табл2,3,0)</f>
        <v>1000110</v>
      </c>
      <c r="E50" s="293" t="s">
        <v>68</v>
      </c>
      <c r="F50" s="237">
        <f>BIN2DEC(F49)</f>
        <v>12</v>
      </c>
      <c r="G50" s="237"/>
      <c r="H50" s="237"/>
      <c r="I50" s="239"/>
      <c r="J50" s="293" t="s">
        <v>68</v>
      </c>
      <c r="K50" s="237">
        <f>F50</f>
        <v>12</v>
      </c>
      <c r="L50" s="237"/>
      <c r="M50" s="237"/>
      <c r="N50" s="237"/>
      <c r="O50" s="237"/>
      <c r="P50" s="237"/>
      <c r="Q50" s="239"/>
    </row>
    <row r="51" spans="1:17" x14ac:dyDescent="0.35">
      <c r="A51" s="140">
        <v>4</v>
      </c>
      <c r="B51" s="59" t="str">
        <f t="shared" ref="B51:B53" si="113">DEC2BIN(A51,4)</f>
        <v>0100</v>
      </c>
      <c r="C51" s="141" t="str">
        <f>VLOOKUP(B51,табл2,3,0)</f>
        <v>0100011</v>
      </c>
    </row>
    <row r="52" spans="1:17" x14ac:dyDescent="0.35">
      <c r="A52" s="140">
        <v>2</v>
      </c>
      <c r="B52" s="59" t="str">
        <f t="shared" si="113"/>
        <v>0010</v>
      </c>
      <c r="C52" s="141" t="str">
        <f>VLOOKUP(B52,табл2,3,0)</f>
        <v>0010111</v>
      </c>
    </row>
    <row r="53" spans="1:17" ht="18.600000000000001" thickBot="1" x14ac:dyDescent="0.4">
      <c r="A53" s="144">
        <v>1</v>
      </c>
      <c r="B53" s="95" t="str">
        <f t="shared" si="113"/>
        <v>0001</v>
      </c>
      <c r="C53" s="145" t="str">
        <f>VLOOKUP(B53,табл2,3,0)</f>
        <v>0001101</v>
      </c>
    </row>
  </sheetData>
  <mergeCells count="98">
    <mergeCell ref="E43:I43"/>
    <mergeCell ref="J43:Q43"/>
    <mergeCell ref="F49:I49"/>
    <mergeCell ref="K49:Q49"/>
    <mergeCell ref="F50:I50"/>
    <mergeCell ref="K50:Q50"/>
    <mergeCell ref="BQ2:BW2"/>
    <mergeCell ref="A1:C1"/>
    <mergeCell ref="D1:E1"/>
    <mergeCell ref="K2:O2"/>
    <mergeCell ref="P2:W2"/>
    <mergeCell ref="AC2:AG2"/>
    <mergeCell ref="AH2:AO2"/>
    <mergeCell ref="AQ2:AS2"/>
    <mergeCell ref="AU2:AX2"/>
    <mergeCell ref="AZ2:BF2"/>
    <mergeCell ref="BH2:BJ2"/>
    <mergeCell ref="BL2:BO2"/>
    <mergeCell ref="L7:O7"/>
    <mergeCell ref="Q7:W7"/>
    <mergeCell ref="AD7:AG7"/>
    <mergeCell ref="AI7:AO7"/>
    <mergeCell ref="L8:O8"/>
    <mergeCell ref="Q8:W8"/>
    <mergeCell ref="AD8:AG8"/>
    <mergeCell ref="AI8:AO8"/>
    <mergeCell ref="K10:O10"/>
    <mergeCell ref="P10:W10"/>
    <mergeCell ref="AC10:AG10"/>
    <mergeCell ref="AH10:AO10"/>
    <mergeCell ref="AU13:AX13"/>
    <mergeCell ref="BL13:BO13"/>
    <mergeCell ref="BQ13:BW13"/>
    <mergeCell ref="L14:O14"/>
    <mergeCell ref="Q14:W14"/>
    <mergeCell ref="AD14:AG14"/>
    <mergeCell ref="AI14:AO14"/>
    <mergeCell ref="AU14:AX14"/>
    <mergeCell ref="AZ14:BF14"/>
    <mergeCell ref="BL14:BO14"/>
    <mergeCell ref="BQ14:BW14"/>
    <mergeCell ref="AZ13:BF13"/>
    <mergeCell ref="L15:O15"/>
    <mergeCell ref="Q15:W15"/>
    <mergeCell ref="AD15:AG15"/>
    <mergeCell ref="AI15:AO15"/>
    <mergeCell ref="K17:O17"/>
    <mergeCell ref="P17:W17"/>
    <mergeCell ref="AC17:AG17"/>
    <mergeCell ref="AH17:AO17"/>
    <mergeCell ref="AU19:AX19"/>
    <mergeCell ref="AZ19:BF19"/>
    <mergeCell ref="BL19:BO19"/>
    <mergeCell ref="BQ19:BW19"/>
    <mergeCell ref="AU20:AX20"/>
    <mergeCell ref="AZ20:BF20"/>
    <mergeCell ref="BL20:BO20"/>
    <mergeCell ref="BQ20:BW20"/>
    <mergeCell ref="L21:O21"/>
    <mergeCell ref="Q21:W21"/>
    <mergeCell ref="AD21:AG21"/>
    <mergeCell ref="AI21:AO21"/>
    <mergeCell ref="L22:O22"/>
    <mergeCell ref="Q22:W22"/>
    <mergeCell ref="AD22:AG22"/>
    <mergeCell ref="AI22:AO22"/>
    <mergeCell ref="AU25:AX25"/>
    <mergeCell ref="AZ25:BF25"/>
    <mergeCell ref="BL25:BO25"/>
    <mergeCell ref="BQ25:BW25"/>
    <mergeCell ref="AU26:AX26"/>
    <mergeCell ref="AZ26:BF26"/>
    <mergeCell ref="BL26:BO26"/>
    <mergeCell ref="BQ26:BW26"/>
    <mergeCell ref="AU31:AX31"/>
    <mergeCell ref="AZ31:BF31"/>
    <mergeCell ref="BL31:BO31"/>
    <mergeCell ref="BQ31:BW31"/>
    <mergeCell ref="AU32:AX32"/>
    <mergeCell ref="AZ32:BF32"/>
    <mergeCell ref="BL32:BO32"/>
    <mergeCell ref="BQ32:BW32"/>
    <mergeCell ref="AU37:AX37"/>
    <mergeCell ref="AZ37:BF37"/>
    <mergeCell ref="BL37:BO37"/>
    <mergeCell ref="BQ37:BW37"/>
    <mergeCell ref="AU38:AX38"/>
    <mergeCell ref="AZ38:BF38"/>
    <mergeCell ref="BL38:BO38"/>
    <mergeCell ref="BQ38:BW38"/>
    <mergeCell ref="AU43:AX43"/>
    <mergeCell ref="AZ43:BF43"/>
    <mergeCell ref="BL43:BO43"/>
    <mergeCell ref="BQ43:BW43"/>
    <mergeCell ref="AU44:AX44"/>
    <mergeCell ref="AZ44:BF44"/>
    <mergeCell ref="BL44:BO44"/>
    <mergeCell ref="BQ44:BW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433F-5463-4142-B6A3-91284AE10788}">
  <dimension ref="A1:AM172"/>
  <sheetViews>
    <sheetView topLeftCell="Q5" workbookViewId="0">
      <selection activeCell="U6" sqref="U6"/>
    </sheetView>
  </sheetViews>
  <sheetFormatPr defaultRowHeight="18" x14ac:dyDescent="0.35"/>
  <cols>
    <col min="1" max="1" width="8.88671875" style="187"/>
    <col min="2" max="11" width="8.88671875" style="3"/>
    <col min="12" max="12" width="18.44140625" style="57" customWidth="1"/>
    <col min="13" max="13" width="15" style="3" bestFit="1" customWidth="1"/>
    <col min="14" max="14" width="8.88671875" style="3"/>
    <col min="15" max="15" width="3.44140625" style="3" bestFit="1" customWidth="1"/>
    <col min="16" max="16" width="13.44140625" style="3" bestFit="1" customWidth="1"/>
    <col min="17" max="17" width="14" style="3" bestFit="1" customWidth="1"/>
    <col min="18" max="18" width="13.44140625" style="3" bestFit="1" customWidth="1"/>
    <col min="19" max="20" width="8.88671875" style="3"/>
    <col min="21" max="36" width="3.6640625" style="3" bestFit="1" customWidth="1"/>
    <col min="37" max="37" width="8.88671875" style="3"/>
    <col min="38" max="38" width="16.6640625" style="3" bestFit="1" customWidth="1"/>
    <col min="39" max="39" width="15" style="3" bestFit="1" customWidth="1"/>
    <col min="40" max="16384" width="8.88671875" style="3"/>
  </cols>
  <sheetData>
    <row r="1" spans="1:39" x14ac:dyDescent="0.35">
      <c r="A1" s="3">
        <v>1</v>
      </c>
      <c r="B1" s="3">
        <v>2</v>
      </c>
      <c r="C1" s="3">
        <v>3</v>
      </c>
      <c r="D1" s="3">
        <v>4</v>
      </c>
    </row>
    <row r="2" spans="1:39" x14ac:dyDescent="0.35">
      <c r="A2" s="266" t="s">
        <v>122</v>
      </c>
      <c r="B2" s="266"/>
      <c r="C2" s="266"/>
      <c r="D2" s="266"/>
    </row>
    <row r="3" spans="1:39" x14ac:dyDescent="0.35">
      <c r="A3" s="267" t="s">
        <v>145</v>
      </c>
      <c r="B3" s="267"/>
      <c r="C3" s="267"/>
      <c r="D3" s="181">
        <v>1101</v>
      </c>
    </row>
    <row r="4" spans="1:39" x14ac:dyDescent="0.35">
      <c r="A4" s="181" t="str">
        <f>MID(полином,A1,1)</f>
        <v>1</v>
      </c>
      <c r="B4" s="181" t="str">
        <f>MID(полином,B1,1)</f>
        <v>1</v>
      </c>
      <c r="C4" s="181" t="str">
        <f>MID(полином,C1,1)</f>
        <v>0</v>
      </c>
      <c r="D4" s="181" t="str">
        <f>MID(полином,D1,1)</f>
        <v>1</v>
      </c>
      <c r="O4" s="268" t="s">
        <v>146</v>
      </c>
      <c r="P4" s="268"/>
      <c r="Q4" s="268"/>
      <c r="R4" s="175" t="str">
        <f>A3</f>
        <v>x^3 + x^2 + 1</v>
      </c>
    </row>
    <row r="5" spans="1:39" ht="108.6" thickBot="1" x14ac:dyDescent="0.4">
      <c r="A5" s="3"/>
      <c r="O5" s="93" t="s">
        <v>80</v>
      </c>
      <c r="P5" s="176" t="s">
        <v>123</v>
      </c>
      <c r="Q5" s="176" t="s">
        <v>124</v>
      </c>
      <c r="R5" s="176" t="s">
        <v>125</v>
      </c>
      <c r="T5" s="117"/>
      <c r="U5" s="177" t="s">
        <v>87</v>
      </c>
      <c r="V5" s="177" t="s">
        <v>126</v>
      </c>
      <c r="W5" s="177" t="s">
        <v>127</v>
      </c>
      <c r="X5" s="177" t="s">
        <v>128</v>
      </c>
      <c r="Y5" s="177" t="s">
        <v>129</v>
      </c>
      <c r="Z5" s="177" t="s">
        <v>130</v>
      </c>
      <c r="AA5" s="177" t="s">
        <v>131</v>
      </c>
      <c r="AB5" s="177" t="s">
        <v>132</v>
      </c>
      <c r="AC5" s="177" t="s">
        <v>133</v>
      </c>
      <c r="AD5" s="177" t="s">
        <v>134</v>
      </c>
      <c r="AE5" s="177" t="s">
        <v>135</v>
      </c>
      <c r="AF5" s="177" t="s">
        <v>136</v>
      </c>
      <c r="AG5" s="177" t="s">
        <v>137</v>
      </c>
      <c r="AH5" s="177" t="s">
        <v>138</v>
      </c>
      <c r="AI5" s="177" t="s">
        <v>139</v>
      </c>
      <c r="AJ5" s="177" t="s">
        <v>88</v>
      </c>
    </row>
    <row r="6" spans="1:39" x14ac:dyDescent="0.35">
      <c r="A6" s="255" t="s">
        <v>140</v>
      </c>
      <c r="B6" s="256"/>
      <c r="C6" s="257"/>
      <c r="D6" s="248" t="s">
        <v>141</v>
      </c>
      <c r="E6" s="249"/>
      <c r="F6" s="249"/>
      <c r="G6" s="249"/>
      <c r="H6" s="249"/>
      <c r="I6" s="249"/>
      <c r="J6" s="250"/>
      <c r="L6" s="182" t="s">
        <v>140</v>
      </c>
      <c r="O6" s="117">
        <v>0</v>
      </c>
      <c r="P6" s="117" t="str">
        <f>L7</f>
        <v>0000</v>
      </c>
      <c r="Q6" s="117" t="str">
        <f>MID(R6,1,4)</f>
        <v>0000</v>
      </c>
      <c r="R6" s="117" t="str">
        <f>L9</f>
        <v>0000000</v>
      </c>
      <c r="T6" s="117" t="s">
        <v>87</v>
      </c>
      <c r="U6" s="117">
        <f t="shared" ref="U6:AJ21" si="0">MOD(MID(U$5,1,1)+MID($T6,1,1),2)+MOD(MID(U$5,2,1)+MID($T6,2,1),2)+MOD(MID(U$5,3,1)+MID($T6,3,1),2)+MOD(MID(U$5,4,1)+MID($T6,4,1),2)+MOD(MID(U$5,5,1)+MID($T6,5,1),2)+MOD(MID(U$5,6,1)+MID($T6,6,1),2)+MOD(MID(U$5,7,1)+MID($T6,7,1),2)</f>
        <v>0</v>
      </c>
      <c r="V6" s="117">
        <f t="shared" si="0"/>
        <v>3</v>
      </c>
      <c r="W6" s="117">
        <f t="shared" si="0"/>
        <v>4</v>
      </c>
      <c r="X6" s="117">
        <f t="shared" si="0"/>
        <v>3</v>
      </c>
      <c r="Y6" s="117">
        <f t="shared" si="0"/>
        <v>3</v>
      </c>
      <c r="Z6" s="117">
        <f t="shared" si="0"/>
        <v>4</v>
      </c>
      <c r="AA6" s="117">
        <f t="shared" si="0"/>
        <v>3</v>
      </c>
      <c r="AB6" s="117">
        <f t="shared" si="0"/>
        <v>4</v>
      </c>
      <c r="AC6" s="117">
        <f t="shared" si="0"/>
        <v>3</v>
      </c>
      <c r="AD6" s="117">
        <f t="shared" si="0"/>
        <v>4</v>
      </c>
      <c r="AE6" s="117">
        <f t="shared" si="0"/>
        <v>3</v>
      </c>
      <c r="AF6" s="117">
        <f t="shared" si="0"/>
        <v>4</v>
      </c>
      <c r="AG6" s="117">
        <f t="shared" si="0"/>
        <v>4</v>
      </c>
      <c r="AH6" s="117">
        <f t="shared" si="0"/>
        <v>3</v>
      </c>
      <c r="AI6" s="117">
        <f t="shared" si="0"/>
        <v>4</v>
      </c>
      <c r="AJ6" s="117">
        <f t="shared" si="0"/>
        <v>7</v>
      </c>
      <c r="AL6" s="175" t="s">
        <v>142</v>
      </c>
      <c r="AM6" s="175" t="str">
        <f>A3</f>
        <v>x^3 + x^2 + 1</v>
      </c>
    </row>
    <row r="7" spans="1:39" x14ac:dyDescent="0.35">
      <c r="A7" s="185" t="s">
        <v>68</v>
      </c>
      <c r="B7" s="183" t="str">
        <f>MID(A10,1,1)</f>
        <v>0</v>
      </c>
      <c r="C7" s="265"/>
      <c r="D7" s="118">
        <f>$B7*$A$4</f>
        <v>0</v>
      </c>
      <c r="E7" s="117">
        <f>$B7*$B$4</f>
        <v>0</v>
      </c>
      <c r="F7" s="117">
        <f>$B7*$C$4</f>
        <v>0</v>
      </c>
      <c r="G7" s="117">
        <f>$B7*$D$4</f>
        <v>0</v>
      </c>
      <c r="H7" s="117"/>
      <c r="I7" s="117"/>
      <c r="J7" s="119"/>
      <c r="L7" s="59" t="str">
        <f>A10</f>
        <v>0000</v>
      </c>
      <c r="O7" s="117">
        <v>1</v>
      </c>
      <c r="P7" s="117" t="str">
        <f>L17</f>
        <v>0001</v>
      </c>
      <c r="Q7" s="117" t="str">
        <f t="shared" ref="Q7:Q21" si="1">MID(R7,1,4)</f>
        <v>0001</v>
      </c>
      <c r="R7" s="117" t="str">
        <f>L19</f>
        <v>0001101</v>
      </c>
      <c r="T7" s="117" t="s">
        <v>126</v>
      </c>
      <c r="U7" s="117">
        <f t="shared" si="0"/>
        <v>3</v>
      </c>
      <c r="V7" s="117">
        <f t="shared" si="0"/>
        <v>0</v>
      </c>
      <c r="W7" s="117">
        <f t="shared" si="0"/>
        <v>3</v>
      </c>
      <c r="X7" s="117">
        <f t="shared" si="0"/>
        <v>4</v>
      </c>
      <c r="Y7" s="117">
        <f t="shared" si="0"/>
        <v>4</v>
      </c>
      <c r="Z7" s="117">
        <f t="shared" si="0"/>
        <v>3</v>
      </c>
      <c r="AA7" s="117">
        <f t="shared" si="0"/>
        <v>4</v>
      </c>
      <c r="AB7" s="117">
        <f t="shared" si="0"/>
        <v>3</v>
      </c>
      <c r="AC7" s="117">
        <f t="shared" si="0"/>
        <v>4</v>
      </c>
      <c r="AD7" s="117">
        <f t="shared" si="0"/>
        <v>3</v>
      </c>
      <c r="AE7" s="117">
        <f t="shared" si="0"/>
        <v>4</v>
      </c>
      <c r="AF7" s="117">
        <f t="shared" si="0"/>
        <v>3</v>
      </c>
      <c r="AG7" s="117">
        <f t="shared" si="0"/>
        <v>3</v>
      </c>
      <c r="AH7" s="117">
        <f t="shared" si="0"/>
        <v>4</v>
      </c>
      <c r="AI7" s="117">
        <f t="shared" si="0"/>
        <v>7</v>
      </c>
      <c r="AJ7" s="117">
        <f t="shared" si="0"/>
        <v>4</v>
      </c>
      <c r="AL7" s="175" t="s">
        <v>143</v>
      </c>
      <c r="AM7" s="175" t="s">
        <v>125</v>
      </c>
    </row>
    <row r="8" spans="1:39" x14ac:dyDescent="0.35">
      <c r="A8" s="188">
        <v>0</v>
      </c>
      <c r="B8" s="183" t="str">
        <f>MID(A10,2,1)</f>
        <v>0</v>
      </c>
      <c r="C8" s="265"/>
      <c r="D8" s="118"/>
      <c r="E8" s="117">
        <f>$B8*$A$4</f>
        <v>0</v>
      </c>
      <c r="F8" s="117">
        <f>$B8*$B$4</f>
        <v>0</v>
      </c>
      <c r="G8" s="117">
        <f>$B8*$C$4</f>
        <v>0</v>
      </c>
      <c r="H8" s="117">
        <f>$B8*$D$4</f>
        <v>0</v>
      </c>
      <c r="I8" s="117"/>
      <c r="J8" s="119"/>
      <c r="L8" s="182" t="s">
        <v>125</v>
      </c>
      <c r="O8" s="117">
        <v>2</v>
      </c>
      <c r="P8" s="117" t="str">
        <f>L27</f>
        <v>0010</v>
      </c>
      <c r="Q8" s="117" t="str">
        <f t="shared" si="1"/>
        <v>0011</v>
      </c>
      <c r="R8" s="117" t="str">
        <f>L29</f>
        <v>0011010</v>
      </c>
      <c r="T8" s="117" t="s">
        <v>127</v>
      </c>
      <c r="U8" s="117">
        <f t="shared" si="0"/>
        <v>4</v>
      </c>
      <c r="V8" s="117">
        <f t="shared" si="0"/>
        <v>3</v>
      </c>
      <c r="W8" s="117">
        <f t="shared" si="0"/>
        <v>0</v>
      </c>
      <c r="X8" s="117">
        <f t="shared" si="0"/>
        <v>3</v>
      </c>
      <c r="Y8" s="117">
        <f t="shared" si="0"/>
        <v>3</v>
      </c>
      <c r="Z8" s="117">
        <f t="shared" si="0"/>
        <v>4</v>
      </c>
      <c r="AA8" s="117">
        <f t="shared" si="0"/>
        <v>3</v>
      </c>
      <c r="AB8" s="117">
        <f t="shared" si="0"/>
        <v>4</v>
      </c>
      <c r="AC8" s="117">
        <f t="shared" si="0"/>
        <v>3</v>
      </c>
      <c r="AD8" s="117">
        <f t="shared" si="0"/>
        <v>4</v>
      </c>
      <c r="AE8" s="117">
        <f t="shared" si="0"/>
        <v>3</v>
      </c>
      <c r="AF8" s="117">
        <f t="shared" si="0"/>
        <v>4</v>
      </c>
      <c r="AG8" s="117">
        <f t="shared" si="0"/>
        <v>4</v>
      </c>
      <c r="AH8" s="117">
        <f t="shared" si="0"/>
        <v>7</v>
      </c>
      <c r="AI8" s="117">
        <f t="shared" si="0"/>
        <v>4</v>
      </c>
      <c r="AJ8" s="117">
        <f t="shared" si="0"/>
        <v>3</v>
      </c>
      <c r="AL8" s="117" t="s">
        <v>86</v>
      </c>
      <c r="AM8" s="117" t="s">
        <v>87</v>
      </c>
    </row>
    <row r="9" spans="1:39" x14ac:dyDescent="0.35">
      <c r="A9" s="185" t="s">
        <v>69</v>
      </c>
      <c r="B9" s="183" t="str">
        <f>MID(A10,3,1)</f>
        <v>0</v>
      </c>
      <c r="C9" s="265"/>
      <c r="D9" s="118"/>
      <c r="E9" s="117"/>
      <c r="F9" s="117">
        <f>$B9*$A$4</f>
        <v>0</v>
      </c>
      <c r="G9" s="117">
        <f>$B9*$B$4</f>
        <v>0</v>
      </c>
      <c r="H9" s="117">
        <f>$B9*$C$4</f>
        <v>0</v>
      </c>
      <c r="I9" s="117">
        <f>$B9*$D$4</f>
        <v>0</v>
      </c>
      <c r="J9" s="119"/>
      <c r="L9" s="59" t="str">
        <f>D12</f>
        <v>0000000</v>
      </c>
      <c r="O9" s="117">
        <v>3</v>
      </c>
      <c r="P9" s="117" t="str">
        <f>L37</f>
        <v>0011</v>
      </c>
      <c r="Q9" s="117" t="str">
        <f t="shared" si="1"/>
        <v>0010</v>
      </c>
      <c r="R9" s="117" t="str">
        <f>L39</f>
        <v>0010111</v>
      </c>
      <c r="T9" s="117" t="s">
        <v>128</v>
      </c>
      <c r="U9" s="117">
        <f t="shared" si="0"/>
        <v>3</v>
      </c>
      <c r="V9" s="117">
        <f t="shared" si="0"/>
        <v>4</v>
      </c>
      <c r="W9" s="117">
        <f t="shared" si="0"/>
        <v>3</v>
      </c>
      <c r="X9" s="117">
        <f t="shared" si="0"/>
        <v>0</v>
      </c>
      <c r="Y9" s="117">
        <f t="shared" si="0"/>
        <v>4</v>
      </c>
      <c r="Z9" s="117">
        <f t="shared" si="0"/>
        <v>3</v>
      </c>
      <c r="AA9" s="117">
        <f t="shared" si="0"/>
        <v>4</v>
      </c>
      <c r="AB9" s="117">
        <f t="shared" si="0"/>
        <v>3</v>
      </c>
      <c r="AC9" s="117">
        <f t="shared" si="0"/>
        <v>4</v>
      </c>
      <c r="AD9" s="117">
        <f t="shared" si="0"/>
        <v>3</v>
      </c>
      <c r="AE9" s="117">
        <f t="shared" si="0"/>
        <v>4</v>
      </c>
      <c r="AF9" s="117">
        <f t="shared" si="0"/>
        <v>3</v>
      </c>
      <c r="AG9" s="117">
        <f t="shared" si="0"/>
        <v>7</v>
      </c>
      <c r="AH9" s="117">
        <f t="shared" si="0"/>
        <v>4</v>
      </c>
      <c r="AI9" s="117">
        <f t="shared" si="0"/>
        <v>3</v>
      </c>
      <c r="AJ9" s="117">
        <f t="shared" si="0"/>
        <v>4</v>
      </c>
      <c r="AL9" s="117" t="s">
        <v>94</v>
      </c>
      <c r="AM9" s="117" t="s">
        <v>126</v>
      </c>
    </row>
    <row r="10" spans="1:39" ht="18.600000000000001" thickBot="1" x14ac:dyDescent="0.4">
      <c r="A10" s="186" t="str">
        <f>DEC2BIN(A8,4)</f>
        <v>0000</v>
      </c>
      <c r="B10" s="184" t="str">
        <f>MID(A10,4,1)</f>
        <v>0</v>
      </c>
      <c r="C10" s="260"/>
      <c r="D10" s="125"/>
      <c r="E10" s="126"/>
      <c r="F10" s="126"/>
      <c r="G10" s="126">
        <f>$B10*$A$4</f>
        <v>0</v>
      </c>
      <c r="H10" s="126">
        <f>$B10*$B$4</f>
        <v>0</v>
      </c>
      <c r="I10" s="126">
        <f>$B10*$C$4</f>
        <v>0</v>
      </c>
      <c r="J10" s="127">
        <f>$B10*$D$4</f>
        <v>0</v>
      </c>
      <c r="O10" s="117">
        <v>4</v>
      </c>
      <c r="P10" s="117" t="str">
        <f>L47</f>
        <v>0100</v>
      </c>
      <c r="Q10" s="117" t="str">
        <f t="shared" si="1"/>
        <v>0110</v>
      </c>
      <c r="R10" s="117" t="str">
        <f>L49</f>
        <v>0110100</v>
      </c>
      <c r="T10" s="117" t="s">
        <v>129</v>
      </c>
      <c r="U10" s="117">
        <f t="shared" si="0"/>
        <v>3</v>
      </c>
      <c r="V10" s="117">
        <f t="shared" si="0"/>
        <v>4</v>
      </c>
      <c r="W10" s="117">
        <f t="shared" si="0"/>
        <v>3</v>
      </c>
      <c r="X10" s="117">
        <f t="shared" si="0"/>
        <v>4</v>
      </c>
      <c r="Y10" s="117">
        <f t="shared" si="0"/>
        <v>0</v>
      </c>
      <c r="Z10" s="117">
        <f t="shared" si="0"/>
        <v>3</v>
      </c>
      <c r="AA10" s="117">
        <f t="shared" si="0"/>
        <v>4</v>
      </c>
      <c r="AB10" s="117">
        <f t="shared" si="0"/>
        <v>3</v>
      </c>
      <c r="AC10" s="117">
        <f t="shared" si="0"/>
        <v>4</v>
      </c>
      <c r="AD10" s="117">
        <f t="shared" si="0"/>
        <v>3</v>
      </c>
      <c r="AE10" s="117">
        <f t="shared" si="0"/>
        <v>4</v>
      </c>
      <c r="AF10" s="117">
        <f t="shared" si="0"/>
        <v>7</v>
      </c>
      <c r="AG10" s="117">
        <f t="shared" si="0"/>
        <v>3</v>
      </c>
      <c r="AH10" s="117">
        <f t="shared" si="0"/>
        <v>4</v>
      </c>
      <c r="AI10" s="117">
        <f t="shared" si="0"/>
        <v>3</v>
      </c>
      <c r="AJ10" s="117">
        <f t="shared" si="0"/>
        <v>4</v>
      </c>
      <c r="AL10" s="117" t="s">
        <v>18</v>
      </c>
      <c r="AM10" s="117" t="s">
        <v>127</v>
      </c>
    </row>
    <row r="11" spans="1:39" ht="18.600000000000001" thickBot="1" x14ac:dyDescent="0.4">
      <c r="A11" s="255" t="s">
        <v>144</v>
      </c>
      <c r="B11" s="256"/>
      <c r="C11" s="257"/>
      <c r="D11" s="178">
        <f>MOD(D7+D8+D9+D10,2)</f>
        <v>0</v>
      </c>
      <c r="E11" s="179">
        <f t="shared" ref="E11:J11" si="2">MOD(E7+E8+E9+E10,2)</f>
        <v>0</v>
      </c>
      <c r="F11" s="179">
        <f t="shared" si="2"/>
        <v>0</v>
      </c>
      <c r="G11" s="179">
        <f t="shared" si="2"/>
        <v>0</v>
      </c>
      <c r="H11" s="179">
        <f t="shared" si="2"/>
        <v>0</v>
      </c>
      <c r="I11" s="179">
        <f t="shared" si="2"/>
        <v>0</v>
      </c>
      <c r="J11" s="180">
        <f t="shared" si="2"/>
        <v>0</v>
      </c>
      <c r="O11" s="117">
        <v>5</v>
      </c>
      <c r="P11" s="117" t="str">
        <f>L57</f>
        <v>0101</v>
      </c>
      <c r="Q11" s="117" t="str">
        <f t="shared" si="1"/>
        <v>0111</v>
      </c>
      <c r="R11" s="117" t="str">
        <f>L59</f>
        <v>0111001</v>
      </c>
      <c r="T11" s="117" t="s">
        <v>130</v>
      </c>
      <c r="U11" s="117">
        <f t="shared" si="0"/>
        <v>4</v>
      </c>
      <c r="V11" s="117">
        <f t="shared" si="0"/>
        <v>3</v>
      </c>
      <c r="W11" s="117">
        <f t="shared" si="0"/>
        <v>4</v>
      </c>
      <c r="X11" s="117">
        <f t="shared" si="0"/>
        <v>3</v>
      </c>
      <c r="Y11" s="117">
        <f t="shared" si="0"/>
        <v>3</v>
      </c>
      <c r="Z11" s="117">
        <f t="shared" si="0"/>
        <v>0</v>
      </c>
      <c r="AA11" s="117">
        <f t="shared" si="0"/>
        <v>3</v>
      </c>
      <c r="AB11" s="117">
        <f t="shared" si="0"/>
        <v>4</v>
      </c>
      <c r="AC11" s="117">
        <f t="shared" si="0"/>
        <v>3</v>
      </c>
      <c r="AD11" s="117">
        <f t="shared" si="0"/>
        <v>4</v>
      </c>
      <c r="AE11" s="117">
        <f t="shared" si="0"/>
        <v>7</v>
      </c>
      <c r="AF11" s="117">
        <f t="shared" si="0"/>
        <v>4</v>
      </c>
      <c r="AG11" s="117">
        <f t="shared" si="0"/>
        <v>4</v>
      </c>
      <c r="AH11" s="117">
        <f t="shared" si="0"/>
        <v>3</v>
      </c>
      <c r="AI11" s="117">
        <f t="shared" si="0"/>
        <v>4</v>
      </c>
      <c r="AJ11" s="117">
        <f t="shared" si="0"/>
        <v>3</v>
      </c>
      <c r="AL11" s="117" t="s">
        <v>96</v>
      </c>
      <c r="AM11" s="117" t="s">
        <v>128</v>
      </c>
    </row>
    <row r="12" spans="1:39" ht="18.600000000000001" thickBot="1" x14ac:dyDescent="0.4">
      <c r="A12" s="258" t="s">
        <v>125</v>
      </c>
      <c r="B12" s="259"/>
      <c r="C12" s="260"/>
      <c r="D12" s="261" t="str">
        <f>D11&amp;E11&amp;F11&amp;G11&amp;H11&amp;I11&amp;J11</f>
        <v>0000000</v>
      </c>
      <c r="E12" s="262"/>
      <c r="F12" s="262"/>
      <c r="G12" s="262"/>
      <c r="H12" s="262"/>
      <c r="I12" s="262"/>
      <c r="J12" s="263"/>
      <c r="O12" s="117">
        <v>6</v>
      </c>
      <c r="P12" s="117" t="str">
        <f>L67</f>
        <v>0110</v>
      </c>
      <c r="Q12" s="117" t="str">
        <f t="shared" si="1"/>
        <v>0101</v>
      </c>
      <c r="R12" s="117" t="str">
        <f>L69</f>
        <v>0101110</v>
      </c>
      <c r="T12" s="117" t="s">
        <v>131</v>
      </c>
      <c r="U12" s="117">
        <f t="shared" si="0"/>
        <v>3</v>
      </c>
      <c r="V12" s="117">
        <f t="shared" si="0"/>
        <v>4</v>
      </c>
      <c r="W12" s="117">
        <f t="shared" si="0"/>
        <v>3</v>
      </c>
      <c r="X12" s="117">
        <f t="shared" si="0"/>
        <v>4</v>
      </c>
      <c r="Y12" s="117">
        <f t="shared" si="0"/>
        <v>4</v>
      </c>
      <c r="Z12" s="117">
        <f t="shared" si="0"/>
        <v>3</v>
      </c>
      <c r="AA12" s="117">
        <f t="shared" si="0"/>
        <v>0</v>
      </c>
      <c r="AB12" s="117">
        <f t="shared" si="0"/>
        <v>3</v>
      </c>
      <c r="AC12" s="117">
        <f t="shared" si="0"/>
        <v>4</v>
      </c>
      <c r="AD12" s="117">
        <f t="shared" si="0"/>
        <v>7</v>
      </c>
      <c r="AE12" s="117">
        <f t="shared" si="0"/>
        <v>4</v>
      </c>
      <c r="AF12" s="117">
        <f t="shared" si="0"/>
        <v>3</v>
      </c>
      <c r="AG12" s="117">
        <f t="shared" si="0"/>
        <v>3</v>
      </c>
      <c r="AH12" s="117">
        <f t="shared" si="0"/>
        <v>4</v>
      </c>
      <c r="AI12" s="117">
        <f t="shared" si="0"/>
        <v>3</v>
      </c>
      <c r="AJ12" s="117">
        <f t="shared" si="0"/>
        <v>4</v>
      </c>
      <c r="AL12" s="117" t="s">
        <v>98</v>
      </c>
      <c r="AM12" s="117" t="s">
        <v>129</v>
      </c>
    </row>
    <row r="13" spans="1:39" x14ac:dyDescent="0.35">
      <c r="O13" s="117">
        <v>7</v>
      </c>
      <c r="P13" s="117" t="str">
        <f>L77</f>
        <v>0111</v>
      </c>
      <c r="Q13" s="117" t="str">
        <f t="shared" si="1"/>
        <v>0100</v>
      </c>
      <c r="R13" s="117" t="str">
        <f>L79</f>
        <v>0100011</v>
      </c>
      <c r="T13" s="117" t="s">
        <v>132</v>
      </c>
      <c r="U13" s="117">
        <f t="shared" si="0"/>
        <v>4</v>
      </c>
      <c r="V13" s="117">
        <f t="shared" si="0"/>
        <v>3</v>
      </c>
      <c r="W13" s="117">
        <f t="shared" si="0"/>
        <v>4</v>
      </c>
      <c r="X13" s="117">
        <f t="shared" si="0"/>
        <v>3</v>
      </c>
      <c r="Y13" s="117">
        <f t="shared" si="0"/>
        <v>3</v>
      </c>
      <c r="Z13" s="117">
        <f t="shared" si="0"/>
        <v>4</v>
      </c>
      <c r="AA13" s="117">
        <f t="shared" si="0"/>
        <v>3</v>
      </c>
      <c r="AB13" s="117">
        <f t="shared" si="0"/>
        <v>0</v>
      </c>
      <c r="AC13" s="117">
        <f t="shared" si="0"/>
        <v>7</v>
      </c>
      <c r="AD13" s="117">
        <f t="shared" si="0"/>
        <v>4</v>
      </c>
      <c r="AE13" s="117">
        <f t="shared" si="0"/>
        <v>3</v>
      </c>
      <c r="AF13" s="117">
        <f t="shared" si="0"/>
        <v>4</v>
      </c>
      <c r="AG13" s="117">
        <f t="shared" si="0"/>
        <v>4</v>
      </c>
      <c r="AH13" s="117">
        <f t="shared" si="0"/>
        <v>3</v>
      </c>
      <c r="AI13" s="117">
        <f t="shared" si="0"/>
        <v>4</v>
      </c>
      <c r="AJ13" s="117">
        <f t="shared" si="0"/>
        <v>3</v>
      </c>
      <c r="AL13" s="117" t="s">
        <v>84</v>
      </c>
      <c r="AM13" s="117" t="s">
        <v>130</v>
      </c>
    </row>
    <row r="14" spans="1:39" x14ac:dyDescent="0.35">
      <c r="O14" s="117">
        <v>8</v>
      </c>
      <c r="P14" s="117" t="str">
        <f>L87</f>
        <v>1000</v>
      </c>
      <c r="Q14" s="117" t="str">
        <f t="shared" si="1"/>
        <v>1101</v>
      </c>
      <c r="R14" s="117" t="str">
        <f>L89</f>
        <v>1101000</v>
      </c>
      <c r="T14" s="117" t="s">
        <v>133</v>
      </c>
      <c r="U14" s="117">
        <f t="shared" si="0"/>
        <v>3</v>
      </c>
      <c r="V14" s="117">
        <f t="shared" si="0"/>
        <v>4</v>
      </c>
      <c r="W14" s="117">
        <f t="shared" si="0"/>
        <v>3</v>
      </c>
      <c r="X14" s="117">
        <f t="shared" si="0"/>
        <v>4</v>
      </c>
      <c r="Y14" s="117">
        <f t="shared" si="0"/>
        <v>4</v>
      </c>
      <c r="Z14" s="117">
        <f t="shared" si="0"/>
        <v>3</v>
      </c>
      <c r="AA14" s="117">
        <f t="shared" si="0"/>
        <v>4</v>
      </c>
      <c r="AB14" s="117">
        <f t="shared" si="0"/>
        <v>7</v>
      </c>
      <c r="AC14" s="117">
        <f t="shared" si="0"/>
        <v>0</v>
      </c>
      <c r="AD14" s="117">
        <f t="shared" si="0"/>
        <v>3</v>
      </c>
      <c r="AE14" s="117">
        <f t="shared" si="0"/>
        <v>4</v>
      </c>
      <c r="AF14" s="117">
        <f t="shared" si="0"/>
        <v>3</v>
      </c>
      <c r="AG14" s="117">
        <f t="shared" si="0"/>
        <v>3</v>
      </c>
      <c r="AH14" s="117">
        <f t="shared" si="0"/>
        <v>4</v>
      </c>
      <c r="AI14" s="117">
        <f t="shared" si="0"/>
        <v>3</v>
      </c>
      <c r="AJ14" s="117">
        <f t="shared" si="0"/>
        <v>4</v>
      </c>
      <c r="AL14" s="117" t="s">
        <v>100</v>
      </c>
      <c r="AM14" s="117" t="s">
        <v>131</v>
      </c>
    </row>
    <row r="15" spans="1:39" ht="18.600000000000001" thickBot="1" x14ac:dyDescent="0.4">
      <c r="O15" s="117">
        <v>9</v>
      </c>
      <c r="P15" s="117" t="str">
        <f>L97</f>
        <v>1001</v>
      </c>
      <c r="Q15" s="117" t="str">
        <f t="shared" si="1"/>
        <v>1100</v>
      </c>
      <c r="R15" s="117" t="str">
        <f>L99</f>
        <v>1100101</v>
      </c>
      <c r="T15" s="117" t="s">
        <v>134</v>
      </c>
      <c r="U15" s="117">
        <f t="shared" si="0"/>
        <v>4</v>
      </c>
      <c r="V15" s="117">
        <f t="shared" si="0"/>
        <v>3</v>
      </c>
      <c r="W15" s="117">
        <f t="shared" si="0"/>
        <v>4</v>
      </c>
      <c r="X15" s="117">
        <f t="shared" si="0"/>
        <v>3</v>
      </c>
      <c r="Y15" s="117">
        <f t="shared" si="0"/>
        <v>3</v>
      </c>
      <c r="Z15" s="117">
        <f t="shared" si="0"/>
        <v>4</v>
      </c>
      <c r="AA15" s="117">
        <f t="shared" si="0"/>
        <v>7</v>
      </c>
      <c r="AB15" s="117">
        <f t="shared" si="0"/>
        <v>4</v>
      </c>
      <c r="AC15" s="117">
        <f t="shared" si="0"/>
        <v>3</v>
      </c>
      <c r="AD15" s="117">
        <f t="shared" si="0"/>
        <v>0</v>
      </c>
      <c r="AE15" s="117">
        <f t="shared" si="0"/>
        <v>3</v>
      </c>
      <c r="AF15" s="117">
        <f t="shared" si="0"/>
        <v>4</v>
      </c>
      <c r="AG15" s="117">
        <f t="shared" si="0"/>
        <v>4</v>
      </c>
      <c r="AH15" s="117">
        <f t="shared" si="0"/>
        <v>3</v>
      </c>
      <c r="AI15" s="117">
        <f t="shared" si="0"/>
        <v>4</v>
      </c>
      <c r="AJ15" s="117">
        <f t="shared" si="0"/>
        <v>3</v>
      </c>
      <c r="AL15" s="117" t="s">
        <v>81</v>
      </c>
      <c r="AM15" s="117" t="s">
        <v>132</v>
      </c>
    </row>
    <row r="16" spans="1:39" x14ac:dyDescent="0.35">
      <c r="A16" s="255" t="s">
        <v>140</v>
      </c>
      <c r="B16" s="256"/>
      <c r="C16" s="257"/>
      <c r="D16" s="248" t="s">
        <v>141</v>
      </c>
      <c r="E16" s="249"/>
      <c r="F16" s="249"/>
      <c r="G16" s="249"/>
      <c r="H16" s="249"/>
      <c r="I16" s="249"/>
      <c r="J16" s="250"/>
      <c r="L16" s="182" t="s">
        <v>140</v>
      </c>
      <c r="O16" s="117">
        <v>10</v>
      </c>
      <c r="P16" s="117" t="str">
        <f>L107</f>
        <v>1010</v>
      </c>
      <c r="Q16" s="117" t="str">
        <f t="shared" si="1"/>
        <v>1110</v>
      </c>
      <c r="R16" s="117" t="str">
        <f>L109</f>
        <v>1110010</v>
      </c>
      <c r="T16" s="117" t="s">
        <v>135</v>
      </c>
      <c r="U16" s="117">
        <f t="shared" si="0"/>
        <v>3</v>
      </c>
      <c r="V16" s="117">
        <f t="shared" si="0"/>
        <v>4</v>
      </c>
      <c r="W16" s="117">
        <f t="shared" si="0"/>
        <v>3</v>
      </c>
      <c r="X16" s="117">
        <f t="shared" si="0"/>
        <v>4</v>
      </c>
      <c r="Y16" s="117">
        <f t="shared" si="0"/>
        <v>4</v>
      </c>
      <c r="Z16" s="117">
        <f t="shared" si="0"/>
        <v>7</v>
      </c>
      <c r="AA16" s="117">
        <f t="shared" si="0"/>
        <v>4</v>
      </c>
      <c r="AB16" s="117">
        <f t="shared" si="0"/>
        <v>3</v>
      </c>
      <c r="AC16" s="117">
        <f t="shared" si="0"/>
        <v>4</v>
      </c>
      <c r="AD16" s="117">
        <f t="shared" si="0"/>
        <v>3</v>
      </c>
      <c r="AE16" s="117">
        <f t="shared" si="0"/>
        <v>0</v>
      </c>
      <c r="AF16" s="117">
        <f t="shared" si="0"/>
        <v>3</v>
      </c>
      <c r="AG16" s="117">
        <f t="shared" si="0"/>
        <v>3</v>
      </c>
      <c r="AH16" s="117">
        <f t="shared" si="0"/>
        <v>4</v>
      </c>
      <c r="AI16" s="117">
        <f t="shared" si="0"/>
        <v>3</v>
      </c>
      <c r="AJ16" s="117">
        <f t="shared" si="0"/>
        <v>4</v>
      </c>
      <c r="AL16" s="117" t="s">
        <v>102</v>
      </c>
      <c r="AM16" s="117" t="s">
        <v>133</v>
      </c>
    </row>
    <row r="17" spans="1:39" x14ac:dyDescent="0.35">
      <c r="A17" s="185" t="s">
        <v>68</v>
      </c>
      <c r="B17" s="183" t="str">
        <f>MID(A20,1,1)</f>
        <v>0</v>
      </c>
      <c r="C17" s="265"/>
      <c r="D17" s="118">
        <f>$B17*$A$4</f>
        <v>0</v>
      </c>
      <c r="E17" s="117">
        <f>$B17*$B$4</f>
        <v>0</v>
      </c>
      <c r="F17" s="117">
        <f>$B17*$C$4</f>
        <v>0</v>
      </c>
      <c r="G17" s="117">
        <f>$B17*$D$4</f>
        <v>0</v>
      </c>
      <c r="H17" s="117"/>
      <c r="I17" s="117"/>
      <c r="J17" s="119"/>
      <c r="L17" s="59" t="str">
        <f>A20</f>
        <v>0001</v>
      </c>
      <c r="O17" s="117">
        <v>11</v>
      </c>
      <c r="P17" s="117" t="str">
        <f>L117</f>
        <v>1011</v>
      </c>
      <c r="Q17" s="117" t="str">
        <f t="shared" si="1"/>
        <v>1111</v>
      </c>
      <c r="R17" s="117" t="str">
        <f>L119</f>
        <v>1111111</v>
      </c>
      <c r="T17" s="117" t="s">
        <v>136</v>
      </c>
      <c r="U17" s="117">
        <f t="shared" si="0"/>
        <v>4</v>
      </c>
      <c r="V17" s="117">
        <f t="shared" si="0"/>
        <v>3</v>
      </c>
      <c r="W17" s="117">
        <f t="shared" si="0"/>
        <v>4</v>
      </c>
      <c r="X17" s="117">
        <f t="shared" si="0"/>
        <v>3</v>
      </c>
      <c r="Y17" s="117">
        <f t="shared" si="0"/>
        <v>7</v>
      </c>
      <c r="Z17" s="117">
        <f t="shared" si="0"/>
        <v>4</v>
      </c>
      <c r="AA17" s="117">
        <f t="shared" si="0"/>
        <v>3</v>
      </c>
      <c r="AB17" s="117">
        <f t="shared" si="0"/>
        <v>4</v>
      </c>
      <c r="AC17" s="117">
        <f t="shared" si="0"/>
        <v>3</v>
      </c>
      <c r="AD17" s="117">
        <f t="shared" si="0"/>
        <v>4</v>
      </c>
      <c r="AE17" s="117">
        <f t="shared" si="0"/>
        <v>3</v>
      </c>
      <c r="AF17" s="117">
        <f t="shared" si="0"/>
        <v>0</v>
      </c>
      <c r="AG17" s="117">
        <f t="shared" si="0"/>
        <v>4</v>
      </c>
      <c r="AH17" s="117">
        <f t="shared" si="0"/>
        <v>3</v>
      </c>
      <c r="AI17" s="117">
        <f t="shared" si="0"/>
        <v>4</v>
      </c>
      <c r="AJ17" s="117">
        <f t="shared" si="0"/>
        <v>3</v>
      </c>
      <c r="AL17" s="117" t="s">
        <v>104</v>
      </c>
      <c r="AM17" s="117" t="s">
        <v>134</v>
      </c>
    </row>
    <row r="18" spans="1:39" x14ac:dyDescent="0.35">
      <c r="A18" s="188">
        <v>1</v>
      </c>
      <c r="B18" s="183" t="str">
        <f>MID(A20,2,1)</f>
        <v>0</v>
      </c>
      <c r="C18" s="265"/>
      <c r="D18" s="118"/>
      <c r="E18" s="117">
        <f>$B18*$A$4</f>
        <v>0</v>
      </c>
      <c r="F18" s="117">
        <f>$B18*$B$4</f>
        <v>0</v>
      </c>
      <c r="G18" s="117">
        <f>$B18*$C$4</f>
        <v>0</v>
      </c>
      <c r="H18" s="117">
        <f>$B18*$D$4</f>
        <v>0</v>
      </c>
      <c r="I18" s="117"/>
      <c r="J18" s="119"/>
      <c r="L18" s="182" t="s">
        <v>125</v>
      </c>
      <c r="O18" s="117">
        <v>12</v>
      </c>
      <c r="P18" s="117" t="str">
        <f>L127</f>
        <v>1100</v>
      </c>
      <c r="Q18" s="117" t="str">
        <f t="shared" si="1"/>
        <v>1011</v>
      </c>
      <c r="R18" s="117" t="str">
        <f>L129</f>
        <v>1011100</v>
      </c>
      <c r="T18" s="117" t="s">
        <v>137</v>
      </c>
      <c r="U18" s="117">
        <f t="shared" si="0"/>
        <v>4</v>
      </c>
      <c r="V18" s="117">
        <f t="shared" si="0"/>
        <v>3</v>
      </c>
      <c r="W18" s="117">
        <f t="shared" si="0"/>
        <v>4</v>
      </c>
      <c r="X18" s="117">
        <f t="shared" si="0"/>
        <v>7</v>
      </c>
      <c r="Y18" s="117">
        <f t="shared" si="0"/>
        <v>3</v>
      </c>
      <c r="Z18" s="117">
        <f t="shared" si="0"/>
        <v>4</v>
      </c>
      <c r="AA18" s="117">
        <f t="shared" si="0"/>
        <v>3</v>
      </c>
      <c r="AB18" s="117">
        <f t="shared" si="0"/>
        <v>4</v>
      </c>
      <c r="AC18" s="117">
        <f t="shared" si="0"/>
        <v>3</v>
      </c>
      <c r="AD18" s="117">
        <f t="shared" si="0"/>
        <v>4</v>
      </c>
      <c r="AE18" s="117">
        <f t="shared" si="0"/>
        <v>3</v>
      </c>
      <c r="AF18" s="117">
        <f t="shared" si="0"/>
        <v>4</v>
      </c>
      <c r="AG18" s="117">
        <f t="shared" si="0"/>
        <v>0</v>
      </c>
      <c r="AH18" s="117">
        <f t="shared" si="0"/>
        <v>3</v>
      </c>
      <c r="AI18" s="117">
        <f t="shared" si="0"/>
        <v>4</v>
      </c>
      <c r="AJ18" s="117">
        <f t="shared" si="0"/>
        <v>3</v>
      </c>
      <c r="AL18" s="117" t="s">
        <v>93</v>
      </c>
      <c r="AM18" s="117" t="s">
        <v>135</v>
      </c>
    </row>
    <row r="19" spans="1:39" x14ac:dyDescent="0.35">
      <c r="A19" s="185" t="s">
        <v>69</v>
      </c>
      <c r="B19" s="183" t="str">
        <f>MID(A20,3,1)</f>
        <v>0</v>
      </c>
      <c r="C19" s="265"/>
      <c r="D19" s="118"/>
      <c r="E19" s="117"/>
      <c r="F19" s="117">
        <f>$B19*$A$4</f>
        <v>0</v>
      </c>
      <c r="G19" s="117">
        <f>$B19*$B$4</f>
        <v>0</v>
      </c>
      <c r="H19" s="117">
        <f>$B19*$C$4</f>
        <v>0</v>
      </c>
      <c r="I19" s="117">
        <f>$B19*$D$4</f>
        <v>0</v>
      </c>
      <c r="J19" s="119"/>
      <c r="L19" s="59" t="str">
        <f>D22</f>
        <v>0001101</v>
      </c>
      <c r="O19" s="117">
        <v>13</v>
      </c>
      <c r="P19" s="117" t="str">
        <f>L137</f>
        <v>1101</v>
      </c>
      <c r="Q19" s="117" t="str">
        <f t="shared" si="1"/>
        <v>1010</v>
      </c>
      <c r="R19" s="117" t="str">
        <f>L139</f>
        <v>1010001</v>
      </c>
      <c r="T19" s="117" t="s">
        <v>138</v>
      </c>
      <c r="U19" s="117">
        <f t="shared" si="0"/>
        <v>3</v>
      </c>
      <c r="V19" s="117">
        <f t="shared" si="0"/>
        <v>4</v>
      </c>
      <c r="W19" s="117">
        <f t="shared" si="0"/>
        <v>7</v>
      </c>
      <c r="X19" s="117">
        <f t="shared" si="0"/>
        <v>4</v>
      </c>
      <c r="Y19" s="117">
        <f t="shared" si="0"/>
        <v>4</v>
      </c>
      <c r="Z19" s="117">
        <f t="shared" si="0"/>
        <v>3</v>
      </c>
      <c r="AA19" s="117">
        <f t="shared" si="0"/>
        <v>4</v>
      </c>
      <c r="AB19" s="117">
        <f t="shared" si="0"/>
        <v>3</v>
      </c>
      <c r="AC19" s="117">
        <f t="shared" si="0"/>
        <v>4</v>
      </c>
      <c r="AD19" s="117">
        <f t="shared" si="0"/>
        <v>3</v>
      </c>
      <c r="AE19" s="117">
        <f t="shared" si="0"/>
        <v>4</v>
      </c>
      <c r="AF19" s="117">
        <f t="shared" si="0"/>
        <v>3</v>
      </c>
      <c r="AG19" s="117">
        <f t="shared" si="0"/>
        <v>3</v>
      </c>
      <c r="AH19" s="117">
        <f t="shared" si="0"/>
        <v>0</v>
      </c>
      <c r="AI19" s="117">
        <f t="shared" si="0"/>
        <v>3</v>
      </c>
      <c r="AJ19" s="117">
        <f t="shared" si="0"/>
        <v>4</v>
      </c>
      <c r="AL19" s="117" t="s">
        <v>13</v>
      </c>
      <c r="AM19" s="117" t="s">
        <v>136</v>
      </c>
    </row>
    <row r="20" spans="1:39" ht="18.600000000000001" thickBot="1" x14ac:dyDescent="0.4">
      <c r="A20" s="186" t="str">
        <f>DEC2BIN(A18,4)</f>
        <v>0001</v>
      </c>
      <c r="B20" s="184" t="str">
        <f>MID(A20,4,1)</f>
        <v>1</v>
      </c>
      <c r="C20" s="260"/>
      <c r="D20" s="125"/>
      <c r="E20" s="126"/>
      <c r="F20" s="126"/>
      <c r="G20" s="126">
        <f>$B20*$A$4</f>
        <v>1</v>
      </c>
      <c r="H20" s="126">
        <f>$B20*$B$4</f>
        <v>1</v>
      </c>
      <c r="I20" s="126">
        <f>$B20*$C$4</f>
        <v>0</v>
      </c>
      <c r="J20" s="127">
        <f>$B20*$D$4</f>
        <v>1</v>
      </c>
      <c r="O20" s="117">
        <v>14</v>
      </c>
      <c r="P20" s="117" t="str">
        <f>L147</f>
        <v>1110</v>
      </c>
      <c r="Q20" s="117" t="str">
        <f t="shared" si="1"/>
        <v>1000</v>
      </c>
      <c r="R20" s="117" t="str">
        <f>L149</f>
        <v>1000110</v>
      </c>
      <c r="T20" s="117" t="s">
        <v>139</v>
      </c>
      <c r="U20" s="117">
        <f t="shared" si="0"/>
        <v>4</v>
      </c>
      <c r="V20" s="117">
        <f t="shared" si="0"/>
        <v>7</v>
      </c>
      <c r="W20" s="117">
        <f t="shared" si="0"/>
        <v>4</v>
      </c>
      <c r="X20" s="117">
        <f t="shared" si="0"/>
        <v>3</v>
      </c>
      <c r="Y20" s="117">
        <f t="shared" si="0"/>
        <v>3</v>
      </c>
      <c r="Z20" s="117">
        <f t="shared" si="0"/>
        <v>4</v>
      </c>
      <c r="AA20" s="117">
        <f t="shared" si="0"/>
        <v>3</v>
      </c>
      <c r="AB20" s="117">
        <f t="shared" si="0"/>
        <v>4</v>
      </c>
      <c r="AC20" s="117">
        <f t="shared" si="0"/>
        <v>3</v>
      </c>
      <c r="AD20" s="117">
        <f t="shared" si="0"/>
        <v>4</v>
      </c>
      <c r="AE20" s="117">
        <f t="shared" si="0"/>
        <v>3</v>
      </c>
      <c r="AF20" s="117">
        <f t="shared" si="0"/>
        <v>4</v>
      </c>
      <c r="AG20" s="117">
        <f t="shared" si="0"/>
        <v>4</v>
      </c>
      <c r="AH20" s="117">
        <f t="shared" si="0"/>
        <v>3</v>
      </c>
      <c r="AI20" s="117">
        <f t="shared" si="0"/>
        <v>0</v>
      </c>
      <c r="AJ20" s="117">
        <f t="shared" si="0"/>
        <v>3</v>
      </c>
      <c r="AL20" s="117" t="s">
        <v>106</v>
      </c>
      <c r="AM20" s="117" t="s">
        <v>137</v>
      </c>
    </row>
    <row r="21" spans="1:39" ht="18.600000000000001" thickBot="1" x14ac:dyDescent="0.4">
      <c r="A21" s="255" t="s">
        <v>144</v>
      </c>
      <c r="B21" s="256"/>
      <c r="C21" s="257"/>
      <c r="D21" s="178">
        <f>MOD(D17+D18+D19+D20,2)</f>
        <v>0</v>
      </c>
      <c r="E21" s="179">
        <f t="shared" ref="E21:J21" si="3">MOD(E17+E18+E19+E20,2)</f>
        <v>0</v>
      </c>
      <c r="F21" s="179">
        <f t="shared" si="3"/>
        <v>0</v>
      </c>
      <c r="G21" s="179">
        <f t="shared" si="3"/>
        <v>1</v>
      </c>
      <c r="H21" s="179">
        <f t="shared" si="3"/>
        <v>1</v>
      </c>
      <c r="I21" s="179">
        <f t="shared" si="3"/>
        <v>0</v>
      </c>
      <c r="J21" s="180">
        <f t="shared" si="3"/>
        <v>1</v>
      </c>
      <c r="O21" s="117">
        <v>15</v>
      </c>
      <c r="P21" s="117" t="str">
        <f>L157</f>
        <v>1111</v>
      </c>
      <c r="Q21" s="117" t="str">
        <f t="shared" si="1"/>
        <v>1001</v>
      </c>
      <c r="R21" s="117" t="str">
        <f>L159</f>
        <v>1001011</v>
      </c>
      <c r="T21" s="117" t="s">
        <v>88</v>
      </c>
      <c r="U21" s="117">
        <f t="shared" si="0"/>
        <v>7</v>
      </c>
      <c r="V21" s="117">
        <f t="shared" si="0"/>
        <v>4</v>
      </c>
      <c r="W21" s="117">
        <f t="shared" si="0"/>
        <v>3</v>
      </c>
      <c r="X21" s="117">
        <f t="shared" si="0"/>
        <v>4</v>
      </c>
      <c r="Y21" s="117">
        <f t="shared" si="0"/>
        <v>4</v>
      </c>
      <c r="Z21" s="117">
        <f t="shared" si="0"/>
        <v>3</v>
      </c>
      <c r="AA21" s="117">
        <f t="shared" si="0"/>
        <v>4</v>
      </c>
      <c r="AB21" s="117">
        <f t="shared" si="0"/>
        <v>3</v>
      </c>
      <c r="AC21" s="117">
        <f t="shared" si="0"/>
        <v>4</v>
      </c>
      <c r="AD21" s="117">
        <f t="shared" si="0"/>
        <v>3</v>
      </c>
      <c r="AE21" s="117">
        <f t="shared" si="0"/>
        <v>4</v>
      </c>
      <c r="AF21" s="117">
        <f t="shared" si="0"/>
        <v>3</v>
      </c>
      <c r="AG21" s="117">
        <f t="shared" si="0"/>
        <v>3</v>
      </c>
      <c r="AH21" s="117">
        <f t="shared" si="0"/>
        <v>4</v>
      </c>
      <c r="AI21" s="117">
        <f t="shared" si="0"/>
        <v>3</v>
      </c>
      <c r="AJ21" s="117">
        <f t="shared" ref="AJ21" si="4">MOD(MID(AJ$5,1,1)+MID($T21,1,1),2)+MOD(MID(AJ$5,2,1)+MID($T21,2,1),2)+MOD(MID(AJ$5,3,1)+MID($T21,3,1),2)+MOD(MID(AJ$5,4,1)+MID($T21,4,1),2)+MOD(MID(AJ$5,5,1)+MID($T21,5,1),2)+MOD(MID(AJ$5,6,1)+MID($T21,6,1),2)+MOD(MID(AJ$5,7,1)+MID($T21,7,1),2)</f>
        <v>0</v>
      </c>
      <c r="AL21" s="117" t="s">
        <v>90</v>
      </c>
      <c r="AM21" s="117" t="s">
        <v>138</v>
      </c>
    </row>
    <row r="22" spans="1:39" ht="18.600000000000001" thickBot="1" x14ac:dyDescent="0.4">
      <c r="A22" s="258" t="s">
        <v>125</v>
      </c>
      <c r="B22" s="259"/>
      <c r="C22" s="260"/>
      <c r="D22" s="261" t="str">
        <f>D21&amp;E21&amp;F21&amp;G21&amp;H21&amp;I21&amp;J21</f>
        <v>0001101</v>
      </c>
      <c r="E22" s="262"/>
      <c r="F22" s="262"/>
      <c r="G22" s="262"/>
      <c r="H22" s="262"/>
      <c r="I22" s="262"/>
      <c r="J22" s="263"/>
      <c r="AL22" s="117" t="s">
        <v>91</v>
      </c>
      <c r="AM22" s="117" t="s">
        <v>139</v>
      </c>
    </row>
    <row r="23" spans="1:39" x14ac:dyDescent="0.35">
      <c r="AL23" s="117" t="s">
        <v>92</v>
      </c>
      <c r="AM23" s="117" t="s">
        <v>88</v>
      </c>
    </row>
    <row r="25" spans="1:39" ht="18.600000000000001" thickBot="1" x14ac:dyDescent="0.4"/>
    <row r="26" spans="1:39" x14ac:dyDescent="0.35">
      <c r="A26" s="255" t="s">
        <v>140</v>
      </c>
      <c r="B26" s="256"/>
      <c r="C26" s="257"/>
      <c r="D26" s="248" t="s">
        <v>141</v>
      </c>
      <c r="E26" s="249"/>
      <c r="F26" s="249"/>
      <c r="G26" s="249"/>
      <c r="H26" s="249"/>
      <c r="I26" s="249"/>
      <c r="J26" s="250"/>
      <c r="L26" s="182" t="s">
        <v>140</v>
      </c>
    </row>
    <row r="27" spans="1:39" x14ac:dyDescent="0.35">
      <c r="A27" s="185" t="s">
        <v>68</v>
      </c>
      <c r="B27" s="183" t="str">
        <f>MID(A30,1,1)</f>
        <v>0</v>
      </c>
      <c r="C27" s="265"/>
      <c r="D27" s="118">
        <f>$B27*$A$4</f>
        <v>0</v>
      </c>
      <c r="E27" s="117">
        <f>$B27*$B$4</f>
        <v>0</v>
      </c>
      <c r="F27" s="117">
        <f>$B27*$C$4</f>
        <v>0</v>
      </c>
      <c r="G27" s="117">
        <f>$B27*$D$4</f>
        <v>0</v>
      </c>
      <c r="H27" s="117"/>
      <c r="I27" s="117"/>
      <c r="J27" s="119"/>
      <c r="L27" s="59" t="str">
        <f>A30</f>
        <v>0010</v>
      </c>
    </row>
    <row r="28" spans="1:39" x14ac:dyDescent="0.35">
      <c r="A28" s="188">
        <v>2</v>
      </c>
      <c r="B28" s="183" t="str">
        <f>MID(A30,2,1)</f>
        <v>0</v>
      </c>
      <c r="C28" s="265"/>
      <c r="D28" s="118"/>
      <c r="E28" s="117">
        <f>$B28*$A$4</f>
        <v>0</v>
      </c>
      <c r="F28" s="117">
        <f>$B28*$B$4</f>
        <v>0</v>
      </c>
      <c r="G28" s="117">
        <f>$B28*$C$4</f>
        <v>0</v>
      </c>
      <c r="H28" s="117">
        <f>$B28*$D$4</f>
        <v>0</v>
      </c>
      <c r="I28" s="117"/>
      <c r="J28" s="119"/>
      <c r="L28" s="182" t="s">
        <v>125</v>
      </c>
    </row>
    <row r="29" spans="1:39" x14ac:dyDescent="0.35">
      <c r="A29" s="185" t="s">
        <v>69</v>
      </c>
      <c r="B29" s="183" t="str">
        <f>MID(A30,3,1)</f>
        <v>1</v>
      </c>
      <c r="C29" s="265"/>
      <c r="D29" s="118"/>
      <c r="E29" s="117"/>
      <c r="F29" s="117">
        <f>$B29*$A$4</f>
        <v>1</v>
      </c>
      <c r="G29" s="117">
        <f>$B29*$B$4</f>
        <v>1</v>
      </c>
      <c r="H29" s="117">
        <f>$B29*$C$4</f>
        <v>0</v>
      </c>
      <c r="I29" s="117">
        <f>$B29*$D$4</f>
        <v>1</v>
      </c>
      <c r="J29" s="119"/>
      <c r="L29" s="59" t="str">
        <f>D32</f>
        <v>0011010</v>
      </c>
    </row>
    <row r="30" spans="1:39" ht="18.600000000000001" thickBot="1" x14ac:dyDescent="0.4">
      <c r="A30" s="186" t="str">
        <f>DEC2BIN(A28,4)</f>
        <v>0010</v>
      </c>
      <c r="B30" s="184" t="str">
        <f>MID(A30,4,1)</f>
        <v>0</v>
      </c>
      <c r="C30" s="260"/>
      <c r="D30" s="125"/>
      <c r="E30" s="126"/>
      <c r="F30" s="126"/>
      <c r="G30" s="126">
        <f>$B30*$A$4</f>
        <v>0</v>
      </c>
      <c r="H30" s="126">
        <f>$B30*$B$4</f>
        <v>0</v>
      </c>
      <c r="I30" s="126">
        <f>$B30*$C$4</f>
        <v>0</v>
      </c>
      <c r="J30" s="127">
        <f>$B30*$D$4</f>
        <v>0</v>
      </c>
    </row>
    <row r="31" spans="1:39" ht="18.600000000000001" thickBot="1" x14ac:dyDescent="0.4">
      <c r="A31" s="255" t="s">
        <v>144</v>
      </c>
      <c r="B31" s="256"/>
      <c r="C31" s="257"/>
      <c r="D31" s="178">
        <f>MOD(D27+D28+D29+D30,2)</f>
        <v>0</v>
      </c>
      <c r="E31" s="179">
        <f t="shared" ref="E31:J31" si="5">MOD(E27+E28+E29+E30,2)</f>
        <v>0</v>
      </c>
      <c r="F31" s="179">
        <f t="shared" si="5"/>
        <v>1</v>
      </c>
      <c r="G31" s="179">
        <f t="shared" si="5"/>
        <v>1</v>
      </c>
      <c r="H31" s="179">
        <f t="shared" si="5"/>
        <v>0</v>
      </c>
      <c r="I31" s="179">
        <f t="shared" si="5"/>
        <v>1</v>
      </c>
      <c r="J31" s="180">
        <f t="shared" si="5"/>
        <v>0</v>
      </c>
    </row>
    <row r="32" spans="1:39" ht="18.600000000000001" thickBot="1" x14ac:dyDescent="0.4">
      <c r="A32" s="258" t="s">
        <v>125</v>
      </c>
      <c r="B32" s="259"/>
      <c r="C32" s="260"/>
      <c r="D32" s="261" t="str">
        <f>D31&amp;E31&amp;F31&amp;G31&amp;H31&amp;I31&amp;J31</f>
        <v>0011010</v>
      </c>
      <c r="E32" s="262"/>
      <c r="F32" s="262"/>
      <c r="G32" s="262"/>
      <c r="H32" s="262"/>
      <c r="I32" s="262"/>
      <c r="J32" s="263"/>
    </row>
    <row r="35" spans="1:12" ht="18.600000000000001" thickBot="1" x14ac:dyDescent="0.4"/>
    <row r="36" spans="1:12" x14ac:dyDescent="0.35">
      <c r="A36" s="255" t="s">
        <v>140</v>
      </c>
      <c r="B36" s="256"/>
      <c r="C36" s="257"/>
      <c r="D36" s="248" t="s">
        <v>141</v>
      </c>
      <c r="E36" s="249"/>
      <c r="F36" s="249"/>
      <c r="G36" s="249"/>
      <c r="H36" s="249"/>
      <c r="I36" s="249"/>
      <c r="J36" s="250"/>
      <c r="L36" s="182" t="s">
        <v>140</v>
      </c>
    </row>
    <row r="37" spans="1:12" x14ac:dyDescent="0.35">
      <c r="A37" s="185" t="s">
        <v>68</v>
      </c>
      <c r="B37" s="183" t="str">
        <f>MID(A40,1,1)</f>
        <v>0</v>
      </c>
      <c r="C37" s="265"/>
      <c r="D37" s="118">
        <f>$B37*$A$4</f>
        <v>0</v>
      </c>
      <c r="E37" s="117">
        <f>$B37*$B$4</f>
        <v>0</v>
      </c>
      <c r="F37" s="117">
        <f>$B37*$C$4</f>
        <v>0</v>
      </c>
      <c r="G37" s="117">
        <f>$B37*$D$4</f>
        <v>0</v>
      </c>
      <c r="H37" s="117"/>
      <c r="I37" s="117"/>
      <c r="J37" s="119"/>
      <c r="L37" s="59" t="str">
        <f>A40</f>
        <v>0011</v>
      </c>
    </row>
    <row r="38" spans="1:12" x14ac:dyDescent="0.35">
      <c r="A38" s="188">
        <v>3</v>
      </c>
      <c r="B38" s="183" t="str">
        <f>MID(A40,2,1)</f>
        <v>0</v>
      </c>
      <c r="C38" s="265"/>
      <c r="D38" s="118"/>
      <c r="E38" s="117">
        <f>$B38*$A$4</f>
        <v>0</v>
      </c>
      <c r="F38" s="117">
        <f>$B38*$B$4</f>
        <v>0</v>
      </c>
      <c r="G38" s="117">
        <f>$B38*$C$4</f>
        <v>0</v>
      </c>
      <c r="H38" s="117">
        <f>$B38*$D$4</f>
        <v>0</v>
      </c>
      <c r="I38" s="117"/>
      <c r="J38" s="119"/>
      <c r="L38" s="182" t="s">
        <v>125</v>
      </c>
    </row>
    <row r="39" spans="1:12" x14ac:dyDescent="0.35">
      <c r="A39" s="185" t="s">
        <v>69</v>
      </c>
      <c r="B39" s="183" t="str">
        <f>MID(A40,3,1)</f>
        <v>1</v>
      </c>
      <c r="C39" s="265"/>
      <c r="D39" s="118"/>
      <c r="E39" s="117"/>
      <c r="F39" s="117">
        <f>$B39*$A$4</f>
        <v>1</v>
      </c>
      <c r="G39" s="117">
        <f>$B39*$B$4</f>
        <v>1</v>
      </c>
      <c r="H39" s="117">
        <f>$B39*$C$4</f>
        <v>0</v>
      </c>
      <c r="I39" s="117">
        <f>$B39*$D$4</f>
        <v>1</v>
      </c>
      <c r="J39" s="119"/>
      <c r="L39" s="59" t="str">
        <f>D42</f>
        <v>0010111</v>
      </c>
    </row>
    <row r="40" spans="1:12" ht="18.600000000000001" thickBot="1" x14ac:dyDescent="0.4">
      <c r="A40" s="186" t="str">
        <f>DEC2BIN(A38,4)</f>
        <v>0011</v>
      </c>
      <c r="B40" s="184" t="str">
        <f>MID(A40,4,1)</f>
        <v>1</v>
      </c>
      <c r="C40" s="260"/>
      <c r="D40" s="125"/>
      <c r="E40" s="126"/>
      <c r="F40" s="126"/>
      <c r="G40" s="126">
        <f>$B40*$A$4</f>
        <v>1</v>
      </c>
      <c r="H40" s="126">
        <f>$B40*$B$4</f>
        <v>1</v>
      </c>
      <c r="I40" s="126">
        <f>$B40*$C$4</f>
        <v>0</v>
      </c>
      <c r="J40" s="127">
        <f>$B40*$D$4</f>
        <v>1</v>
      </c>
    </row>
    <row r="41" spans="1:12" ht="18.600000000000001" thickBot="1" x14ac:dyDescent="0.4">
      <c r="A41" s="255" t="s">
        <v>144</v>
      </c>
      <c r="B41" s="256"/>
      <c r="C41" s="257"/>
      <c r="D41" s="178">
        <f>MOD(D37+D38+D39+D40,2)</f>
        <v>0</v>
      </c>
      <c r="E41" s="179">
        <f t="shared" ref="E41:J41" si="6">MOD(E37+E38+E39+E40,2)</f>
        <v>0</v>
      </c>
      <c r="F41" s="179">
        <f t="shared" si="6"/>
        <v>1</v>
      </c>
      <c r="G41" s="179">
        <f t="shared" si="6"/>
        <v>0</v>
      </c>
      <c r="H41" s="179">
        <f t="shared" si="6"/>
        <v>1</v>
      </c>
      <c r="I41" s="179">
        <f t="shared" si="6"/>
        <v>1</v>
      </c>
      <c r="J41" s="180">
        <f t="shared" si="6"/>
        <v>1</v>
      </c>
    </row>
    <row r="42" spans="1:12" ht="18.600000000000001" thickBot="1" x14ac:dyDescent="0.4">
      <c r="A42" s="258" t="s">
        <v>125</v>
      </c>
      <c r="B42" s="259"/>
      <c r="C42" s="260"/>
      <c r="D42" s="261" t="str">
        <f>D41&amp;E41&amp;F41&amp;G41&amp;H41&amp;I41&amp;J41</f>
        <v>0010111</v>
      </c>
      <c r="E42" s="262"/>
      <c r="F42" s="262"/>
      <c r="G42" s="262"/>
      <c r="H42" s="262"/>
      <c r="I42" s="262"/>
      <c r="J42" s="263"/>
    </row>
    <row r="45" spans="1:12" ht="18.600000000000001" thickBot="1" x14ac:dyDescent="0.4"/>
    <row r="46" spans="1:12" x14ac:dyDescent="0.35">
      <c r="A46" s="255" t="s">
        <v>140</v>
      </c>
      <c r="B46" s="256"/>
      <c r="C46" s="257"/>
      <c r="D46" s="248" t="s">
        <v>141</v>
      </c>
      <c r="E46" s="249"/>
      <c r="F46" s="249"/>
      <c r="G46" s="249"/>
      <c r="H46" s="249"/>
      <c r="I46" s="249"/>
      <c r="J46" s="250"/>
      <c r="L46" s="182" t="s">
        <v>140</v>
      </c>
    </row>
    <row r="47" spans="1:12" x14ac:dyDescent="0.35">
      <c r="A47" s="185" t="s">
        <v>68</v>
      </c>
      <c r="B47" s="183" t="str">
        <f>MID(A50,1,1)</f>
        <v>0</v>
      </c>
      <c r="C47" s="265"/>
      <c r="D47" s="118">
        <f>$B47*$A$4</f>
        <v>0</v>
      </c>
      <c r="E47" s="117">
        <f>$B47*$B$4</f>
        <v>0</v>
      </c>
      <c r="F47" s="117">
        <f>$B47*$C$4</f>
        <v>0</v>
      </c>
      <c r="G47" s="117">
        <f>$B47*$D$4</f>
        <v>0</v>
      </c>
      <c r="H47" s="117"/>
      <c r="I47" s="117"/>
      <c r="J47" s="119"/>
      <c r="L47" s="59" t="str">
        <f>A50</f>
        <v>0100</v>
      </c>
    </row>
    <row r="48" spans="1:12" x14ac:dyDescent="0.35">
      <c r="A48" s="188">
        <v>4</v>
      </c>
      <c r="B48" s="183" t="str">
        <f>MID(A50,2,1)</f>
        <v>1</v>
      </c>
      <c r="C48" s="265"/>
      <c r="D48" s="118"/>
      <c r="E48" s="117">
        <f>$B48*$A$4</f>
        <v>1</v>
      </c>
      <c r="F48" s="117">
        <f>$B48*$B$4</f>
        <v>1</v>
      </c>
      <c r="G48" s="117">
        <f>$B48*$C$4</f>
        <v>0</v>
      </c>
      <c r="H48" s="117">
        <f>$B48*$D$4</f>
        <v>1</v>
      </c>
      <c r="I48" s="117"/>
      <c r="J48" s="119"/>
      <c r="L48" s="182" t="s">
        <v>125</v>
      </c>
    </row>
    <row r="49" spans="1:12" x14ac:dyDescent="0.35">
      <c r="A49" s="185" t="s">
        <v>69</v>
      </c>
      <c r="B49" s="183" t="str">
        <f>MID(A50,3,1)</f>
        <v>0</v>
      </c>
      <c r="C49" s="265"/>
      <c r="D49" s="118"/>
      <c r="E49" s="117"/>
      <c r="F49" s="117">
        <f>$B49*$A$4</f>
        <v>0</v>
      </c>
      <c r="G49" s="117">
        <f>$B49*$B$4</f>
        <v>0</v>
      </c>
      <c r="H49" s="117">
        <f>$B49*$C$4</f>
        <v>0</v>
      </c>
      <c r="I49" s="117">
        <f>$B49*$D$4</f>
        <v>0</v>
      </c>
      <c r="J49" s="119"/>
      <c r="L49" s="59" t="str">
        <f>D52</f>
        <v>0110100</v>
      </c>
    </row>
    <row r="50" spans="1:12" ht="18.600000000000001" thickBot="1" x14ac:dyDescent="0.4">
      <c r="A50" s="186" t="str">
        <f>DEC2BIN(A48,4)</f>
        <v>0100</v>
      </c>
      <c r="B50" s="184" t="str">
        <f>MID(A50,4,1)</f>
        <v>0</v>
      </c>
      <c r="C50" s="260"/>
      <c r="D50" s="125"/>
      <c r="E50" s="126"/>
      <c r="F50" s="126"/>
      <c r="G50" s="126">
        <f>$B50*$A$4</f>
        <v>0</v>
      </c>
      <c r="H50" s="126">
        <f>$B50*$B$4</f>
        <v>0</v>
      </c>
      <c r="I50" s="126">
        <f>$B50*$C$4</f>
        <v>0</v>
      </c>
      <c r="J50" s="127">
        <f>$B50*$D$4</f>
        <v>0</v>
      </c>
    </row>
    <row r="51" spans="1:12" ht="18.600000000000001" thickBot="1" x14ac:dyDescent="0.4">
      <c r="A51" s="255" t="s">
        <v>144</v>
      </c>
      <c r="B51" s="256"/>
      <c r="C51" s="257"/>
      <c r="D51" s="178">
        <f>MOD(D47+D48+D49+D50,2)</f>
        <v>0</v>
      </c>
      <c r="E51" s="179">
        <f t="shared" ref="E51:J51" si="7">MOD(E47+E48+E49+E50,2)</f>
        <v>1</v>
      </c>
      <c r="F51" s="179">
        <f t="shared" si="7"/>
        <v>1</v>
      </c>
      <c r="G51" s="179">
        <f t="shared" si="7"/>
        <v>0</v>
      </c>
      <c r="H51" s="179">
        <f t="shared" si="7"/>
        <v>1</v>
      </c>
      <c r="I51" s="179">
        <f t="shared" si="7"/>
        <v>0</v>
      </c>
      <c r="J51" s="180">
        <f t="shared" si="7"/>
        <v>0</v>
      </c>
    </row>
    <row r="52" spans="1:12" ht="18.600000000000001" thickBot="1" x14ac:dyDescent="0.4">
      <c r="A52" s="258" t="s">
        <v>125</v>
      </c>
      <c r="B52" s="259"/>
      <c r="C52" s="260"/>
      <c r="D52" s="261" t="str">
        <f>D51&amp;E51&amp;F51&amp;G51&amp;H51&amp;I51&amp;J51</f>
        <v>0110100</v>
      </c>
      <c r="E52" s="262"/>
      <c r="F52" s="262"/>
      <c r="G52" s="262"/>
      <c r="H52" s="262"/>
      <c r="I52" s="262"/>
      <c r="J52" s="263"/>
    </row>
    <row r="55" spans="1:12" ht="18.600000000000001" thickBot="1" x14ac:dyDescent="0.4"/>
    <row r="56" spans="1:12" x14ac:dyDescent="0.35">
      <c r="A56" s="255" t="s">
        <v>140</v>
      </c>
      <c r="B56" s="256"/>
      <c r="C56" s="257"/>
      <c r="D56" s="248" t="s">
        <v>141</v>
      </c>
      <c r="E56" s="249"/>
      <c r="F56" s="249"/>
      <c r="G56" s="249"/>
      <c r="H56" s="249"/>
      <c r="I56" s="249"/>
      <c r="J56" s="250"/>
      <c r="L56" s="182" t="s">
        <v>140</v>
      </c>
    </row>
    <row r="57" spans="1:12" x14ac:dyDescent="0.35">
      <c r="A57" s="185" t="s">
        <v>68</v>
      </c>
      <c r="B57" s="183" t="str">
        <f>MID(A60,1,1)</f>
        <v>0</v>
      </c>
      <c r="C57" s="265"/>
      <c r="D57" s="118">
        <f>$B57*$A$4</f>
        <v>0</v>
      </c>
      <c r="E57" s="117">
        <f>$B57*$B$4</f>
        <v>0</v>
      </c>
      <c r="F57" s="117">
        <f>$B57*$C$4</f>
        <v>0</v>
      </c>
      <c r="G57" s="117">
        <f>$B57*$D$4</f>
        <v>0</v>
      </c>
      <c r="H57" s="117"/>
      <c r="I57" s="117"/>
      <c r="J57" s="119"/>
      <c r="L57" s="59" t="str">
        <f>A60</f>
        <v>0101</v>
      </c>
    </row>
    <row r="58" spans="1:12" x14ac:dyDescent="0.35">
      <c r="A58" s="188">
        <v>5</v>
      </c>
      <c r="B58" s="183" t="str">
        <f>MID(A60,2,1)</f>
        <v>1</v>
      </c>
      <c r="C58" s="265"/>
      <c r="D58" s="118"/>
      <c r="E58" s="117">
        <f>$B58*$A$4</f>
        <v>1</v>
      </c>
      <c r="F58" s="117">
        <f>$B58*$B$4</f>
        <v>1</v>
      </c>
      <c r="G58" s="117">
        <f>$B58*$C$4</f>
        <v>0</v>
      </c>
      <c r="H58" s="117">
        <f>$B58*$D$4</f>
        <v>1</v>
      </c>
      <c r="I58" s="117"/>
      <c r="J58" s="119"/>
      <c r="L58" s="182" t="s">
        <v>125</v>
      </c>
    </row>
    <row r="59" spans="1:12" x14ac:dyDescent="0.35">
      <c r="A59" s="185" t="s">
        <v>69</v>
      </c>
      <c r="B59" s="183" t="str">
        <f>MID(A60,3,1)</f>
        <v>0</v>
      </c>
      <c r="C59" s="265"/>
      <c r="D59" s="118"/>
      <c r="E59" s="117"/>
      <c r="F59" s="117">
        <f>$B59*$A$4</f>
        <v>0</v>
      </c>
      <c r="G59" s="117">
        <f>$B59*$B$4</f>
        <v>0</v>
      </c>
      <c r="H59" s="117">
        <f>$B59*$C$4</f>
        <v>0</v>
      </c>
      <c r="I59" s="117">
        <f>$B59*$D$4</f>
        <v>0</v>
      </c>
      <c r="J59" s="119"/>
      <c r="L59" s="59" t="str">
        <f>D62</f>
        <v>0111001</v>
      </c>
    </row>
    <row r="60" spans="1:12" ht="18.600000000000001" thickBot="1" x14ac:dyDescent="0.4">
      <c r="A60" s="186" t="str">
        <f>DEC2BIN(A58,4)</f>
        <v>0101</v>
      </c>
      <c r="B60" s="184" t="str">
        <f>MID(A60,4,1)</f>
        <v>1</v>
      </c>
      <c r="C60" s="260"/>
      <c r="D60" s="125"/>
      <c r="E60" s="126"/>
      <c r="F60" s="126"/>
      <c r="G60" s="126">
        <f>$B60*$A$4</f>
        <v>1</v>
      </c>
      <c r="H60" s="126">
        <f>$B60*$B$4</f>
        <v>1</v>
      </c>
      <c r="I60" s="126">
        <f>$B60*$C$4</f>
        <v>0</v>
      </c>
      <c r="J60" s="127">
        <f>$B60*$D$4</f>
        <v>1</v>
      </c>
    </row>
    <row r="61" spans="1:12" ht="18.600000000000001" thickBot="1" x14ac:dyDescent="0.4">
      <c r="A61" s="255" t="s">
        <v>144</v>
      </c>
      <c r="B61" s="256"/>
      <c r="C61" s="257"/>
      <c r="D61" s="178">
        <f>MOD(D57+D58+D59+D60,2)</f>
        <v>0</v>
      </c>
      <c r="E61" s="179">
        <f t="shared" ref="E61:J61" si="8">MOD(E57+E58+E59+E60,2)</f>
        <v>1</v>
      </c>
      <c r="F61" s="179">
        <f t="shared" si="8"/>
        <v>1</v>
      </c>
      <c r="G61" s="179">
        <f t="shared" si="8"/>
        <v>1</v>
      </c>
      <c r="H61" s="179">
        <f t="shared" si="8"/>
        <v>0</v>
      </c>
      <c r="I61" s="179">
        <f t="shared" si="8"/>
        <v>0</v>
      </c>
      <c r="J61" s="180">
        <f t="shared" si="8"/>
        <v>1</v>
      </c>
    </row>
    <row r="62" spans="1:12" ht="18.600000000000001" thickBot="1" x14ac:dyDescent="0.4">
      <c r="A62" s="258" t="s">
        <v>125</v>
      </c>
      <c r="B62" s="259"/>
      <c r="C62" s="260"/>
      <c r="D62" s="261" t="str">
        <f>D61&amp;E61&amp;F61&amp;G61&amp;H61&amp;I61&amp;J61</f>
        <v>0111001</v>
      </c>
      <c r="E62" s="262"/>
      <c r="F62" s="262"/>
      <c r="G62" s="262"/>
      <c r="H62" s="262"/>
      <c r="I62" s="262"/>
      <c r="J62" s="263"/>
    </row>
    <row r="65" spans="1:12" ht="18.600000000000001" thickBot="1" x14ac:dyDescent="0.4"/>
    <row r="66" spans="1:12" x14ac:dyDescent="0.35">
      <c r="A66" s="255" t="s">
        <v>140</v>
      </c>
      <c r="B66" s="256"/>
      <c r="C66" s="257"/>
      <c r="D66" s="248" t="s">
        <v>141</v>
      </c>
      <c r="E66" s="249"/>
      <c r="F66" s="249"/>
      <c r="G66" s="249"/>
      <c r="H66" s="249"/>
      <c r="I66" s="249"/>
      <c r="J66" s="250"/>
      <c r="L66" s="182" t="s">
        <v>140</v>
      </c>
    </row>
    <row r="67" spans="1:12" x14ac:dyDescent="0.35">
      <c r="A67" s="185" t="s">
        <v>68</v>
      </c>
      <c r="B67" s="183" t="str">
        <f>MID(A70,1,1)</f>
        <v>0</v>
      </c>
      <c r="C67" s="265"/>
      <c r="D67" s="118">
        <f>$B67*$A$4</f>
        <v>0</v>
      </c>
      <c r="E67" s="117">
        <f>$B67*$B$4</f>
        <v>0</v>
      </c>
      <c r="F67" s="117">
        <f>$B67*$C$4</f>
        <v>0</v>
      </c>
      <c r="G67" s="117">
        <f>$B67*$D$4</f>
        <v>0</v>
      </c>
      <c r="H67" s="117"/>
      <c r="I67" s="117"/>
      <c r="J67" s="119"/>
      <c r="L67" s="59" t="str">
        <f>A70</f>
        <v>0110</v>
      </c>
    </row>
    <row r="68" spans="1:12" x14ac:dyDescent="0.35">
      <c r="A68" s="188">
        <v>6</v>
      </c>
      <c r="B68" s="183" t="str">
        <f>MID(A70,2,1)</f>
        <v>1</v>
      </c>
      <c r="C68" s="265"/>
      <c r="D68" s="118"/>
      <c r="E68" s="117">
        <f>$B68*$A$4</f>
        <v>1</v>
      </c>
      <c r="F68" s="117">
        <f>$B68*$B$4</f>
        <v>1</v>
      </c>
      <c r="G68" s="117">
        <f>$B68*$C$4</f>
        <v>0</v>
      </c>
      <c r="H68" s="117">
        <f>$B68*$D$4</f>
        <v>1</v>
      </c>
      <c r="I68" s="117"/>
      <c r="J68" s="119"/>
      <c r="L68" s="182" t="s">
        <v>125</v>
      </c>
    </row>
    <row r="69" spans="1:12" x14ac:dyDescent="0.35">
      <c r="A69" s="185" t="s">
        <v>69</v>
      </c>
      <c r="B69" s="183" t="str">
        <f>MID(A70,3,1)</f>
        <v>1</v>
      </c>
      <c r="C69" s="265"/>
      <c r="D69" s="118"/>
      <c r="E69" s="117"/>
      <c r="F69" s="117">
        <f>$B69*$A$4</f>
        <v>1</v>
      </c>
      <c r="G69" s="117">
        <f>$B69*$B$4</f>
        <v>1</v>
      </c>
      <c r="H69" s="117">
        <f>$B69*$C$4</f>
        <v>0</v>
      </c>
      <c r="I69" s="117">
        <f>$B69*$D$4</f>
        <v>1</v>
      </c>
      <c r="J69" s="119"/>
      <c r="L69" s="59" t="str">
        <f>D72</f>
        <v>0101110</v>
      </c>
    </row>
    <row r="70" spans="1:12" ht="18.600000000000001" thickBot="1" x14ac:dyDescent="0.4">
      <c r="A70" s="186" t="str">
        <f>DEC2BIN(A68,4)</f>
        <v>0110</v>
      </c>
      <c r="B70" s="184" t="str">
        <f>MID(A70,4,1)</f>
        <v>0</v>
      </c>
      <c r="C70" s="260"/>
      <c r="D70" s="125"/>
      <c r="E70" s="126"/>
      <c r="F70" s="126"/>
      <c r="G70" s="126">
        <f>$B70*$A$4</f>
        <v>0</v>
      </c>
      <c r="H70" s="126">
        <f>$B70*$B$4</f>
        <v>0</v>
      </c>
      <c r="I70" s="126">
        <f>$B70*$C$4</f>
        <v>0</v>
      </c>
      <c r="J70" s="127">
        <f>$B70*$D$4</f>
        <v>0</v>
      </c>
    </row>
    <row r="71" spans="1:12" ht="18.600000000000001" thickBot="1" x14ac:dyDescent="0.4">
      <c r="A71" s="255" t="s">
        <v>144</v>
      </c>
      <c r="B71" s="256"/>
      <c r="C71" s="257"/>
      <c r="D71" s="178">
        <f>MOD(D67+D68+D69+D70,2)</f>
        <v>0</v>
      </c>
      <c r="E71" s="179">
        <f t="shared" ref="E71:J71" si="9">MOD(E67+E68+E69+E70,2)</f>
        <v>1</v>
      </c>
      <c r="F71" s="179">
        <f t="shared" si="9"/>
        <v>0</v>
      </c>
      <c r="G71" s="179">
        <f t="shared" si="9"/>
        <v>1</v>
      </c>
      <c r="H71" s="179">
        <f t="shared" si="9"/>
        <v>1</v>
      </c>
      <c r="I71" s="179">
        <f t="shared" si="9"/>
        <v>1</v>
      </c>
      <c r="J71" s="180">
        <f t="shared" si="9"/>
        <v>0</v>
      </c>
    </row>
    <row r="72" spans="1:12" ht="18.600000000000001" thickBot="1" x14ac:dyDescent="0.4">
      <c r="A72" s="258" t="s">
        <v>125</v>
      </c>
      <c r="B72" s="259"/>
      <c r="C72" s="260"/>
      <c r="D72" s="261" t="str">
        <f>D71&amp;E71&amp;F71&amp;G71&amp;H71&amp;I71&amp;J71</f>
        <v>0101110</v>
      </c>
      <c r="E72" s="262"/>
      <c r="F72" s="262"/>
      <c r="G72" s="262"/>
      <c r="H72" s="262"/>
      <c r="I72" s="262"/>
      <c r="J72" s="263"/>
    </row>
    <row r="75" spans="1:12" ht="18.600000000000001" thickBot="1" x14ac:dyDescent="0.4"/>
    <row r="76" spans="1:12" x14ac:dyDescent="0.35">
      <c r="A76" s="255" t="s">
        <v>140</v>
      </c>
      <c r="B76" s="256"/>
      <c r="C76" s="257"/>
      <c r="D76" s="248" t="s">
        <v>141</v>
      </c>
      <c r="E76" s="249"/>
      <c r="F76" s="249"/>
      <c r="G76" s="249"/>
      <c r="H76" s="249"/>
      <c r="I76" s="249"/>
      <c r="J76" s="250"/>
      <c r="L76" s="182" t="s">
        <v>140</v>
      </c>
    </row>
    <row r="77" spans="1:12" x14ac:dyDescent="0.35">
      <c r="A77" s="185" t="s">
        <v>68</v>
      </c>
      <c r="B77" s="183" t="str">
        <f>MID(A80,1,1)</f>
        <v>0</v>
      </c>
      <c r="C77" s="265"/>
      <c r="D77" s="118">
        <f>$B77*$A$4</f>
        <v>0</v>
      </c>
      <c r="E77" s="117">
        <f>$B77*$B$4</f>
        <v>0</v>
      </c>
      <c r="F77" s="117">
        <f>$B77*$C$4</f>
        <v>0</v>
      </c>
      <c r="G77" s="117">
        <f>$B77*$D$4</f>
        <v>0</v>
      </c>
      <c r="H77" s="117"/>
      <c r="I77" s="117"/>
      <c r="J77" s="119"/>
      <c r="L77" s="59" t="str">
        <f>A80</f>
        <v>0111</v>
      </c>
    </row>
    <row r="78" spans="1:12" x14ac:dyDescent="0.35">
      <c r="A78" s="188">
        <v>7</v>
      </c>
      <c r="B78" s="183" t="str">
        <f>MID(A80,2,1)</f>
        <v>1</v>
      </c>
      <c r="C78" s="265"/>
      <c r="D78" s="118"/>
      <c r="E78" s="117">
        <f>$B78*$A$4</f>
        <v>1</v>
      </c>
      <c r="F78" s="117">
        <f>$B78*$B$4</f>
        <v>1</v>
      </c>
      <c r="G78" s="117">
        <f>$B78*$C$4</f>
        <v>0</v>
      </c>
      <c r="H78" s="117">
        <f>$B78*$D$4</f>
        <v>1</v>
      </c>
      <c r="I78" s="117"/>
      <c r="J78" s="119"/>
      <c r="L78" s="182" t="s">
        <v>125</v>
      </c>
    </row>
    <row r="79" spans="1:12" x14ac:dyDescent="0.35">
      <c r="A79" s="185" t="s">
        <v>69</v>
      </c>
      <c r="B79" s="183" t="str">
        <f>MID(A80,3,1)</f>
        <v>1</v>
      </c>
      <c r="C79" s="265"/>
      <c r="D79" s="118"/>
      <c r="E79" s="117"/>
      <c r="F79" s="117">
        <f>$B79*$A$4</f>
        <v>1</v>
      </c>
      <c r="G79" s="117">
        <f>$B79*$B$4</f>
        <v>1</v>
      </c>
      <c r="H79" s="117">
        <f>$B79*$C$4</f>
        <v>0</v>
      </c>
      <c r="I79" s="117">
        <f>$B79*$D$4</f>
        <v>1</v>
      </c>
      <c r="J79" s="119"/>
      <c r="L79" s="59" t="str">
        <f>D82</f>
        <v>0100011</v>
      </c>
    </row>
    <row r="80" spans="1:12" ht="18.600000000000001" thickBot="1" x14ac:dyDescent="0.4">
      <c r="A80" s="186" t="str">
        <f>DEC2BIN(A78,4)</f>
        <v>0111</v>
      </c>
      <c r="B80" s="184" t="str">
        <f>MID(A80,4,1)</f>
        <v>1</v>
      </c>
      <c r="C80" s="260"/>
      <c r="D80" s="125"/>
      <c r="E80" s="126"/>
      <c r="F80" s="126"/>
      <c r="G80" s="126">
        <f>$B80*$A$4</f>
        <v>1</v>
      </c>
      <c r="H80" s="126">
        <f>$B80*$B$4</f>
        <v>1</v>
      </c>
      <c r="I80" s="126">
        <f>$B80*$C$4</f>
        <v>0</v>
      </c>
      <c r="J80" s="127">
        <f>$B80*$D$4</f>
        <v>1</v>
      </c>
    </row>
    <row r="81" spans="1:12" ht="18.600000000000001" thickBot="1" x14ac:dyDescent="0.4">
      <c r="A81" s="255" t="s">
        <v>144</v>
      </c>
      <c r="B81" s="256"/>
      <c r="C81" s="257"/>
      <c r="D81" s="178">
        <f>MOD(D77+D78+D79+D80,2)</f>
        <v>0</v>
      </c>
      <c r="E81" s="179">
        <f t="shared" ref="E81:J81" si="10">MOD(E77+E78+E79+E80,2)</f>
        <v>1</v>
      </c>
      <c r="F81" s="179">
        <f t="shared" si="10"/>
        <v>0</v>
      </c>
      <c r="G81" s="179">
        <f t="shared" si="10"/>
        <v>0</v>
      </c>
      <c r="H81" s="179">
        <f t="shared" si="10"/>
        <v>0</v>
      </c>
      <c r="I81" s="179">
        <f t="shared" si="10"/>
        <v>1</v>
      </c>
      <c r="J81" s="180">
        <f t="shared" si="10"/>
        <v>1</v>
      </c>
    </row>
    <row r="82" spans="1:12" ht="18.600000000000001" thickBot="1" x14ac:dyDescent="0.4">
      <c r="A82" s="258" t="s">
        <v>125</v>
      </c>
      <c r="B82" s="259"/>
      <c r="C82" s="260"/>
      <c r="D82" s="261" t="str">
        <f>D81&amp;E81&amp;F81&amp;G81&amp;H81&amp;I81&amp;J81</f>
        <v>0100011</v>
      </c>
      <c r="E82" s="262"/>
      <c r="F82" s="262"/>
      <c r="G82" s="262"/>
      <c r="H82" s="262"/>
      <c r="I82" s="262"/>
      <c r="J82" s="263"/>
    </row>
    <row r="85" spans="1:12" ht="18.600000000000001" thickBot="1" x14ac:dyDescent="0.4"/>
    <row r="86" spans="1:12" x14ac:dyDescent="0.35">
      <c r="A86" s="255" t="s">
        <v>140</v>
      </c>
      <c r="B86" s="256"/>
      <c r="C86" s="257"/>
      <c r="D86" s="248" t="s">
        <v>141</v>
      </c>
      <c r="E86" s="249"/>
      <c r="F86" s="249"/>
      <c r="G86" s="249"/>
      <c r="H86" s="249"/>
      <c r="I86" s="249"/>
      <c r="J86" s="250"/>
      <c r="L86" s="182" t="s">
        <v>140</v>
      </c>
    </row>
    <row r="87" spans="1:12" x14ac:dyDescent="0.35">
      <c r="A87" s="185" t="s">
        <v>68</v>
      </c>
      <c r="B87" s="183" t="str">
        <f>MID(A90,1,1)</f>
        <v>1</v>
      </c>
      <c r="C87" s="265"/>
      <c r="D87" s="118">
        <f>$B87*$A$4</f>
        <v>1</v>
      </c>
      <c r="E87" s="117">
        <f>$B87*$B$4</f>
        <v>1</v>
      </c>
      <c r="F87" s="117">
        <f>$B87*$C$4</f>
        <v>0</v>
      </c>
      <c r="G87" s="117">
        <f>$B87*$D$4</f>
        <v>1</v>
      </c>
      <c r="H87" s="117"/>
      <c r="I87" s="117"/>
      <c r="J87" s="119"/>
      <c r="L87" s="59" t="str">
        <f>A90</f>
        <v>1000</v>
      </c>
    </row>
    <row r="88" spans="1:12" x14ac:dyDescent="0.35">
      <c r="A88" s="188">
        <v>8</v>
      </c>
      <c r="B88" s="183" t="str">
        <f>MID(A90,2,1)</f>
        <v>0</v>
      </c>
      <c r="C88" s="265"/>
      <c r="D88" s="118"/>
      <c r="E88" s="117">
        <f>$B88*$A$4</f>
        <v>0</v>
      </c>
      <c r="F88" s="117">
        <f>$B88*$B$4</f>
        <v>0</v>
      </c>
      <c r="G88" s="117">
        <f>$B88*$C$4</f>
        <v>0</v>
      </c>
      <c r="H88" s="117">
        <f>$B88*$D$4</f>
        <v>0</v>
      </c>
      <c r="I88" s="117"/>
      <c r="J88" s="119"/>
      <c r="L88" s="182" t="s">
        <v>125</v>
      </c>
    </row>
    <row r="89" spans="1:12" x14ac:dyDescent="0.35">
      <c r="A89" s="185" t="s">
        <v>69</v>
      </c>
      <c r="B89" s="183" t="str">
        <f>MID(A90,3,1)</f>
        <v>0</v>
      </c>
      <c r="C89" s="265"/>
      <c r="D89" s="118"/>
      <c r="E89" s="117"/>
      <c r="F89" s="117">
        <f>$B89*$A$4</f>
        <v>0</v>
      </c>
      <c r="G89" s="117">
        <f>$B89*$B$4</f>
        <v>0</v>
      </c>
      <c r="H89" s="117">
        <f>$B89*$C$4</f>
        <v>0</v>
      </c>
      <c r="I89" s="117">
        <f>$B89*$D$4</f>
        <v>0</v>
      </c>
      <c r="J89" s="119"/>
      <c r="L89" s="59" t="str">
        <f>D92</f>
        <v>1101000</v>
      </c>
    </row>
    <row r="90" spans="1:12" ht="18.600000000000001" thickBot="1" x14ac:dyDescent="0.4">
      <c r="A90" s="186" t="str">
        <f>DEC2BIN(A88,4)</f>
        <v>1000</v>
      </c>
      <c r="B90" s="184" t="str">
        <f>MID(A90,4,1)</f>
        <v>0</v>
      </c>
      <c r="C90" s="260"/>
      <c r="D90" s="125"/>
      <c r="E90" s="126"/>
      <c r="F90" s="126"/>
      <c r="G90" s="126">
        <f>$B90*$A$4</f>
        <v>0</v>
      </c>
      <c r="H90" s="126">
        <f>$B90*$B$4</f>
        <v>0</v>
      </c>
      <c r="I90" s="126">
        <f>$B90*$C$4</f>
        <v>0</v>
      </c>
      <c r="J90" s="127">
        <f>$B90*$D$4</f>
        <v>0</v>
      </c>
    </row>
    <row r="91" spans="1:12" ht="18.600000000000001" thickBot="1" x14ac:dyDescent="0.4">
      <c r="A91" s="255" t="s">
        <v>144</v>
      </c>
      <c r="B91" s="256"/>
      <c r="C91" s="257"/>
      <c r="D91" s="178">
        <f>MOD(D87+D88+D89+D90,2)</f>
        <v>1</v>
      </c>
      <c r="E91" s="179">
        <f t="shared" ref="E91:J91" si="11">MOD(E87+E88+E89+E90,2)</f>
        <v>1</v>
      </c>
      <c r="F91" s="179">
        <f t="shared" si="11"/>
        <v>0</v>
      </c>
      <c r="G91" s="179">
        <f t="shared" si="11"/>
        <v>1</v>
      </c>
      <c r="H91" s="179">
        <f t="shared" si="11"/>
        <v>0</v>
      </c>
      <c r="I91" s="179">
        <f t="shared" si="11"/>
        <v>0</v>
      </c>
      <c r="J91" s="180">
        <f t="shared" si="11"/>
        <v>0</v>
      </c>
    </row>
    <row r="92" spans="1:12" ht="18.600000000000001" thickBot="1" x14ac:dyDescent="0.4">
      <c r="A92" s="258" t="s">
        <v>125</v>
      </c>
      <c r="B92" s="259"/>
      <c r="C92" s="260"/>
      <c r="D92" s="261" t="str">
        <f>D91&amp;E91&amp;F91&amp;G91&amp;H91&amp;I91&amp;J91</f>
        <v>1101000</v>
      </c>
      <c r="E92" s="262"/>
      <c r="F92" s="262"/>
      <c r="G92" s="262"/>
      <c r="H92" s="262"/>
      <c r="I92" s="262"/>
      <c r="J92" s="263"/>
    </row>
    <row r="95" spans="1:12" ht="18.600000000000001" thickBot="1" x14ac:dyDescent="0.4"/>
    <row r="96" spans="1:12" x14ac:dyDescent="0.35">
      <c r="A96" s="255" t="s">
        <v>140</v>
      </c>
      <c r="B96" s="256"/>
      <c r="C96" s="257"/>
      <c r="D96" s="248" t="s">
        <v>141</v>
      </c>
      <c r="E96" s="249"/>
      <c r="F96" s="249"/>
      <c r="G96" s="249"/>
      <c r="H96" s="249"/>
      <c r="I96" s="249"/>
      <c r="J96" s="250"/>
      <c r="L96" s="182" t="s">
        <v>140</v>
      </c>
    </row>
    <row r="97" spans="1:12" x14ac:dyDescent="0.35">
      <c r="A97" s="185" t="s">
        <v>68</v>
      </c>
      <c r="B97" s="183" t="str">
        <f>MID(A100,1,1)</f>
        <v>1</v>
      </c>
      <c r="C97" s="265"/>
      <c r="D97" s="118">
        <f>$B97*$A$4</f>
        <v>1</v>
      </c>
      <c r="E97" s="117">
        <f>$B97*$B$4</f>
        <v>1</v>
      </c>
      <c r="F97" s="117">
        <f>$B97*$C$4</f>
        <v>0</v>
      </c>
      <c r="G97" s="117">
        <f>$B97*$D$4</f>
        <v>1</v>
      </c>
      <c r="H97" s="117"/>
      <c r="I97" s="117"/>
      <c r="J97" s="119"/>
      <c r="L97" s="59" t="str">
        <f>A100</f>
        <v>1001</v>
      </c>
    </row>
    <row r="98" spans="1:12" x14ac:dyDescent="0.35">
      <c r="A98" s="188">
        <v>9</v>
      </c>
      <c r="B98" s="183" t="str">
        <f>MID(A100,2,1)</f>
        <v>0</v>
      </c>
      <c r="C98" s="265"/>
      <c r="D98" s="118"/>
      <c r="E98" s="117">
        <f>$B98*$A$4</f>
        <v>0</v>
      </c>
      <c r="F98" s="117">
        <f>$B98*$B$4</f>
        <v>0</v>
      </c>
      <c r="G98" s="117">
        <f>$B98*$C$4</f>
        <v>0</v>
      </c>
      <c r="H98" s="117">
        <f>$B98*$D$4</f>
        <v>0</v>
      </c>
      <c r="I98" s="117"/>
      <c r="J98" s="119"/>
      <c r="L98" s="182" t="s">
        <v>125</v>
      </c>
    </row>
    <row r="99" spans="1:12" x14ac:dyDescent="0.35">
      <c r="A99" s="185" t="s">
        <v>69</v>
      </c>
      <c r="B99" s="183" t="str">
        <f>MID(A100,3,1)</f>
        <v>0</v>
      </c>
      <c r="C99" s="265"/>
      <c r="D99" s="118"/>
      <c r="E99" s="117"/>
      <c r="F99" s="117">
        <f>$B99*$A$4</f>
        <v>0</v>
      </c>
      <c r="G99" s="117">
        <f>$B99*$B$4</f>
        <v>0</v>
      </c>
      <c r="H99" s="117">
        <f>$B99*$C$4</f>
        <v>0</v>
      </c>
      <c r="I99" s="117">
        <f>$B99*$D$4</f>
        <v>0</v>
      </c>
      <c r="J99" s="119"/>
      <c r="L99" s="59" t="str">
        <f>D102</f>
        <v>1100101</v>
      </c>
    </row>
    <row r="100" spans="1:12" ht="18.600000000000001" thickBot="1" x14ac:dyDescent="0.4">
      <c r="A100" s="186" t="str">
        <f>DEC2BIN(A98,4)</f>
        <v>1001</v>
      </c>
      <c r="B100" s="184" t="str">
        <f>MID(A100,4,1)</f>
        <v>1</v>
      </c>
      <c r="C100" s="260"/>
      <c r="D100" s="125"/>
      <c r="E100" s="126"/>
      <c r="F100" s="126"/>
      <c r="G100" s="126">
        <f>$B100*$A$4</f>
        <v>1</v>
      </c>
      <c r="H100" s="126">
        <f>$B100*$B$4</f>
        <v>1</v>
      </c>
      <c r="I100" s="126">
        <f>$B100*$C$4</f>
        <v>0</v>
      </c>
      <c r="J100" s="127">
        <f>$B100*$D$4</f>
        <v>1</v>
      </c>
    </row>
    <row r="101" spans="1:12" ht="18.600000000000001" thickBot="1" x14ac:dyDescent="0.4">
      <c r="A101" s="255" t="s">
        <v>144</v>
      </c>
      <c r="B101" s="256"/>
      <c r="C101" s="257"/>
      <c r="D101" s="178">
        <f>MOD(D97+D98+D99+D100,2)</f>
        <v>1</v>
      </c>
      <c r="E101" s="179">
        <f t="shared" ref="E101:J101" si="12">MOD(E97+E98+E99+E100,2)</f>
        <v>1</v>
      </c>
      <c r="F101" s="179">
        <f t="shared" si="12"/>
        <v>0</v>
      </c>
      <c r="G101" s="179">
        <f t="shared" si="12"/>
        <v>0</v>
      </c>
      <c r="H101" s="179">
        <f t="shared" si="12"/>
        <v>1</v>
      </c>
      <c r="I101" s="179">
        <f t="shared" si="12"/>
        <v>0</v>
      </c>
      <c r="J101" s="180">
        <f t="shared" si="12"/>
        <v>1</v>
      </c>
    </row>
    <row r="102" spans="1:12" ht="18.600000000000001" thickBot="1" x14ac:dyDescent="0.4">
      <c r="A102" s="258" t="s">
        <v>125</v>
      </c>
      <c r="B102" s="259"/>
      <c r="C102" s="260"/>
      <c r="D102" s="261" t="str">
        <f>D101&amp;E101&amp;F101&amp;G101&amp;H101&amp;I101&amp;J101</f>
        <v>1100101</v>
      </c>
      <c r="E102" s="262"/>
      <c r="F102" s="262"/>
      <c r="G102" s="262"/>
      <c r="H102" s="262"/>
      <c r="I102" s="262"/>
      <c r="J102" s="263"/>
    </row>
    <row r="105" spans="1:12" ht="18.600000000000001" thickBot="1" x14ac:dyDescent="0.4"/>
    <row r="106" spans="1:12" x14ac:dyDescent="0.35">
      <c r="A106" s="255" t="s">
        <v>140</v>
      </c>
      <c r="B106" s="256"/>
      <c r="C106" s="257"/>
      <c r="D106" s="248" t="s">
        <v>141</v>
      </c>
      <c r="E106" s="249"/>
      <c r="F106" s="249"/>
      <c r="G106" s="249"/>
      <c r="H106" s="249"/>
      <c r="I106" s="249"/>
      <c r="J106" s="250"/>
      <c r="L106" s="182" t="s">
        <v>140</v>
      </c>
    </row>
    <row r="107" spans="1:12" x14ac:dyDescent="0.35">
      <c r="A107" s="185" t="s">
        <v>68</v>
      </c>
      <c r="B107" s="183" t="str">
        <f>MID(A110,1,1)</f>
        <v>1</v>
      </c>
      <c r="C107" s="265"/>
      <c r="D107" s="118">
        <f>$B107*$A$4</f>
        <v>1</v>
      </c>
      <c r="E107" s="117">
        <f>$B107*$B$4</f>
        <v>1</v>
      </c>
      <c r="F107" s="117">
        <f>$B107*$C$4</f>
        <v>0</v>
      </c>
      <c r="G107" s="117">
        <f>$B107*$D$4</f>
        <v>1</v>
      </c>
      <c r="H107" s="117"/>
      <c r="I107" s="117"/>
      <c r="J107" s="119"/>
      <c r="L107" s="59" t="str">
        <f>A110</f>
        <v>1010</v>
      </c>
    </row>
    <row r="108" spans="1:12" x14ac:dyDescent="0.35">
      <c r="A108" s="188">
        <v>10</v>
      </c>
      <c r="B108" s="183" t="str">
        <f>MID(A110,2,1)</f>
        <v>0</v>
      </c>
      <c r="C108" s="265"/>
      <c r="D108" s="118"/>
      <c r="E108" s="117">
        <f>$B108*$A$4</f>
        <v>0</v>
      </c>
      <c r="F108" s="117">
        <f>$B108*$B$4</f>
        <v>0</v>
      </c>
      <c r="G108" s="117">
        <f>$B108*$C$4</f>
        <v>0</v>
      </c>
      <c r="H108" s="117">
        <f>$B108*$D$4</f>
        <v>0</v>
      </c>
      <c r="I108" s="117"/>
      <c r="J108" s="119"/>
      <c r="L108" s="182" t="s">
        <v>125</v>
      </c>
    </row>
    <row r="109" spans="1:12" x14ac:dyDescent="0.35">
      <c r="A109" s="185" t="s">
        <v>69</v>
      </c>
      <c r="B109" s="183" t="str">
        <f>MID(A110,3,1)</f>
        <v>1</v>
      </c>
      <c r="C109" s="265"/>
      <c r="D109" s="118"/>
      <c r="E109" s="117"/>
      <c r="F109" s="117">
        <f>$B109*$A$4</f>
        <v>1</v>
      </c>
      <c r="G109" s="117">
        <f>$B109*$B$4</f>
        <v>1</v>
      </c>
      <c r="H109" s="117">
        <f>$B109*$C$4</f>
        <v>0</v>
      </c>
      <c r="I109" s="117">
        <f>$B109*$D$4</f>
        <v>1</v>
      </c>
      <c r="J109" s="119"/>
      <c r="L109" s="59" t="str">
        <f>D112</f>
        <v>1110010</v>
      </c>
    </row>
    <row r="110" spans="1:12" ht="18.600000000000001" thickBot="1" x14ac:dyDescent="0.4">
      <c r="A110" s="186" t="str">
        <f>DEC2BIN(A108,4)</f>
        <v>1010</v>
      </c>
      <c r="B110" s="184" t="str">
        <f>MID(A110,4,1)</f>
        <v>0</v>
      </c>
      <c r="C110" s="260"/>
      <c r="D110" s="125"/>
      <c r="E110" s="126"/>
      <c r="F110" s="126"/>
      <c r="G110" s="126">
        <f>$B110*$A$4</f>
        <v>0</v>
      </c>
      <c r="H110" s="126">
        <f>$B110*$B$4</f>
        <v>0</v>
      </c>
      <c r="I110" s="126">
        <f>$B110*$C$4</f>
        <v>0</v>
      </c>
      <c r="J110" s="127">
        <f>$B110*$D$4</f>
        <v>0</v>
      </c>
    </row>
    <row r="111" spans="1:12" ht="18.600000000000001" thickBot="1" x14ac:dyDescent="0.4">
      <c r="A111" s="255" t="s">
        <v>144</v>
      </c>
      <c r="B111" s="256"/>
      <c r="C111" s="257"/>
      <c r="D111" s="178">
        <f>MOD(D107+D108+D109+D110,2)</f>
        <v>1</v>
      </c>
      <c r="E111" s="179">
        <f t="shared" ref="E111:J111" si="13">MOD(E107+E108+E109+E110,2)</f>
        <v>1</v>
      </c>
      <c r="F111" s="179">
        <f t="shared" si="13"/>
        <v>1</v>
      </c>
      <c r="G111" s="179">
        <f t="shared" si="13"/>
        <v>0</v>
      </c>
      <c r="H111" s="179">
        <f t="shared" si="13"/>
        <v>0</v>
      </c>
      <c r="I111" s="179">
        <f t="shared" si="13"/>
        <v>1</v>
      </c>
      <c r="J111" s="180">
        <f t="shared" si="13"/>
        <v>0</v>
      </c>
    </row>
    <row r="112" spans="1:12" ht="18.600000000000001" thickBot="1" x14ac:dyDescent="0.4">
      <c r="A112" s="258" t="s">
        <v>125</v>
      </c>
      <c r="B112" s="259"/>
      <c r="C112" s="260"/>
      <c r="D112" s="261" t="str">
        <f>D111&amp;E111&amp;F111&amp;G111&amp;H111&amp;I111&amp;J111</f>
        <v>1110010</v>
      </c>
      <c r="E112" s="262"/>
      <c r="F112" s="262"/>
      <c r="G112" s="262"/>
      <c r="H112" s="262"/>
      <c r="I112" s="262"/>
      <c r="J112" s="263"/>
    </row>
    <row r="115" spans="1:12" ht="18.600000000000001" thickBot="1" x14ac:dyDescent="0.4"/>
    <row r="116" spans="1:12" x14ac:dyDescent="0.35">
      <c r="A116" s="255" t="s">
        <v>140</v>
      </c>
      <c r="B116" s="256"/>
      <c r="C116" s="257"/>
      <c r="D116" s="248" t="s">
        <v>141</v>
      </c>
      <c r="E116" s="249"/>
      <c r="F116" s="249"/>
      <c r="G116" s="249"/>
      <c r="H116" s="249"/>
      <c r="I116" s="249"/>
      <c r="J116" s="250"/>
      <c r="L116" s="182" t="s">
        <v>140</v>
      </c>
    </row>
    <row r="117" spans="1:12" x14ac:dyDescent="0.35">
      <c r="A117" s="185" t="s">
        <v>68</v>
      </c>
      <c r="B117" s="183" t="str">
        <f>MID(A120,1,1)</f>
        <v>1</v>
      </c>
      <c r="C117" s="265"/>
      <c r="D117" s="118">
        <f>$B117*$A$4</f>
        <v>1</v>
      </c>
      <c r="E117" s="117">
        <f>$B117*$B$4</f>
        <v>1</v>
      </c>
      <c r="F117" s="117">
        <f>$B117*$C$4</f>
        <v>0</v>
      </c>
      <c r="G117" s="117">
        <f>$B117*$D$4</f>
        <v>1</v>
      </c>
      <c r="H117" s="117"/>
      <c r="I117" s="117"/>
      <c r="J117" s="119"/>
      <c r="L117" s="59" t="str">
        <f>A120</f>
        <v>1011</v>
      </c>
    </row>
    <row r="118" spans="1:12" x14ac:dyDescent="0.35">
      <c r="A118" s="188">
        <v>11</v>
      </c>
      <c r="B118" s="183" t="str">
        <f>MID(A120,2,1)</f>
        <v>0</v>
      </c>
      <c r="C118" s="265"/>
      <c r="D118" s="118"/>
      <c r="E118" s="117">
        <f>$B118*$A$4</f>
        <v>0</v>
      </c>
      <c r="F118" s="117">
        <f>$B118*$B$4</f>
        <v>0</v>
      </c>
      <c r="G118" s="117">
        <f>$B118*$C$4</f>
        <v>0</v>
      </c>
      <c r="H118" s="117">
        <f>$B118*$D$4</f>
        <v>0</v>
      </c>
      <c r="I118" s="117"/>
      <c r="J118" s="119"/>
      <c r="L118" s="182" t="s">
        <v>125</v>
      </c>
    </row>
    <row r="119" spans="1:12" x14ac:dyDescent="0.35">
      <c r="A119" s="185" t="s">
        <v>69</v>
      </c>
      <c r="B119" s="183" t="str">
        <f>MID(A120,3,1)</f>
        <v>1</v>
      </c>
      <c r="C119" s="265"/>
      <c r="D119" s="118"/>
      <c r="E119" s="117"/>
      <c r="F119" s="117">
        <f>$B119*$A$4</f>
        <v>1</v>
      </c>
      <c r="G119" s="117">
        <f>$B119*$B$4</f>
        <v>1</v>
      </c>
      <c r="H119" s="117">
        <f>$B119*$C$4</f>
        <v>0</v>
      </c>
      <c r="I119" s="117">
        <f>$B119*$D$4</f>
        <v>1</v>
      </c>
      <c r="J119" s="119"/>
      <c r="L119" s="59" t="str">
        <f>D122</f>
        <v>1111111</v>
      </c>
    </row>
    <row r="120" spans="1:12" ht="18.600000000000001" thickBot="1" x14ac:dyDescent="0.4">
      <c r="A120" s="186" t="str">
        <f>DEC2BIN(A118,4)</f>
        <v>1011</v>
      </c>
      <c r="B120" s="184" t="str">
        <f>MID(A120,4,1)</f>
        <v>1</v>
      </c>
      <c r="C120" s="260"/>
      <c r="D120" s="125"/>
      <c r="E120" s="126"/>
      <c r="F120" s="126"/>
      <c r="G120" s="126">
        <f>$B120*$A$4</f>
        <v>1</v>
      </c>
      <c r="H120" s="126">
        <f>$B120*$B$4</f>
        <v>1</v>
      </c>
      <c r="I120" s="126">
        <f>$B120*$C$4</f>
        <v>0</v>
      </c>
      <c r="J120" s="127">
        <f>$B120*$D$4</f>
        <v>1</v>
      </c>
    </row>
    <row r="121" spans="1:12" ht="18.600000000000001" thickBot="1" x14ac:dyDescent="0.4">
      <c r="A121" s="255" t="s">
        <v>144</v>
      </c>
      <c r="B121" s="256"/>
      <c r="C121" s="257"/>
      <c r="D121" s="178">
        <f>MOD(D117+D118+D119+D120,2)</f>
        <v>1</v>
      </c>
      <c r="E121" s="179">
        <f t="shared" ref="E121:J121" si="14">MOD(E117+E118+E119+E120,2)</f>
        <v>1</v>
      </c>
      <c r="F121" s="179">
        <f t="shared" si="14"/>
        <v>1</v>
      </c>
      <c r="G121" s="179">
        <f t="shared" si="14"/>
        <v>1</v>
      </c>
      <c r="H121" s="179">
        <f t="shared" si="14"/>
        <v>1</v>
      </c>
      <c r="I121" s="179">
        <f t="shared" si="14"/>
        <v>1</v>
      </c>
      <c r="J121" s="180">
        <f t="shared" si="14"/>
        <v>1</v>
      </c>
    </row>
    <row r="122" spans="1:12" ht="18.600000000000001" thickBot="1" x14ac:dyDescent="0.4">
      <c r="A122" s="258" t="s">
        <v>125</v>
      </c>
      <c r="B122" s="259"/>
      <c r="C122" s="260"/>
      <c r="D122" s="261" t="str">
        <f>D121&amp;E121&amp;F121&amp;G121&amp;H121&amp;I121&amp;J121</f>
        <v>1111111</v>
      </c>
      <c r="E122" s="262"/>
      <c r="F122" s="262"/>
      <c r="G122" s="262"/>
      <c r="H122" s="262"/>
      <c r="I122" s="262"/>
      <c r="J122" s="263"/>
    </row>
    <row r="125" spans="1:12" ht="18.600000000000001" thickBot="1" x14ac:dyDescent="0.4"/>
    <row r="126" spans="1:12" x14ac:dyDescent="0.35">
      <c r="A126" s="255" t="s">
        <v>140</v>
      </c>
      <c r="B126" s="256"/>
      <c r="C126" s="257"/>
      <c r="D126" s="248" t="s">
        <v>141</v>
      </c>
      <c r="E126" s="249"/>
      <c r="F126" s="249"/>
      <c r="G126" s="249"/>
      <c r="H126" s="249"/>
      <c r="I126" s="249"/>
      <c r="J126" s="250"/>
      <c r="L126" s="182" t="s">
        <v>140</v>
      </c>
    </row>
    <row r="127" spans="1:12" x14ac:dyDescent="0.35">
      <c r="A127" s="185" t="s">
        <v>68</v>
      </c>
      <c r="B127" s="183" t="str">
        <f>MID(A130,1,1)</f>
        <v>1</v>
      </c>
      <c r="C127" s="265"/>
      <c r="D127" s="118">
        <f>$B127*$A$4</f>
        <v>1</v>
      </c>
      <c r="E127" s="117">
        <f>$B127*$B$4</f>
        <v>1</v>
      </c>
      <c r="F127" s="117">
        <f>$B127*$C$4</f>
        <v>0</v>
      </c>
      <c r="G127" s="117">
        <f>$B127*$D$4</f>
        <v>1</v>
      </c>
      <c r="H127" s="117"/>
      <c r="I127" s="117"/>
      <c r="J127" s="119"/>
      <c r="L127" s="59" t="str">
        <f>A130</f>
        <v>1100</v>
      </c>
    </row>
    <row r="128" spans="1:12" x14ac:dyDescent="0.35">
      <c r="A128" s="188">
        <v>12</v>
      </c>
      <c r="B128" s="183" t="str">
        <f>MID(A130,2,1)</f>
        <v>1</v>
      </c>
      <c r="C128" s="265"/>
      <c r="D128" s="118"/>
      <c r="E128" s="117">
        <f>$B128*$A$4</f>
        <v>1</v>
      </c>
      <c r="F128" s="117">
        <f>$B128*$B$4</f>
        <v>1</v>
      </c>
      <c r="G128" s="117">
        <f>$B128*$C$4</f>
        <v>0</v>
      </c>
      <c r="H128" s="117">
        <f>$B128*$D$4</f>
        <v>1</v>
      </c>
      <c r="I128" s="117"/>
      <c r="J128" s="119"/>
      <c r="L128" s="182" t="s">
        <v>125</v>
      </c>
    </row>
    <row r="129" spans="1:12" x14ac:dyDescent="0.35">
      <c r="A129" s="185" t="s">
        <v>69</v>
      </c>
      <c r="B129" s="183" t="str">
        <f>MID(A130,3,1)</f>
        <v>0</v>
      </c>
      <c r="C129" s="265"/>
      <c r="D129" s="118"/>
      <c r="E129" s="117"/>
      <c r="F129" s="117">
        <f>$B129*$A$4</f>
        <v>0</v>
      </c>
      <c r="G129" s="117">
        <f>$B129*$B$4</f>
        <v>0</v>
      </c>
      <c r="H129" s="117">
        <f>$B129*$C$4</f>
        <v>0</v>
      </c>
      <c r="I129" s="117">
        <f>$B129*$D$4</f>
        <v>0</v>
      </c>
      <c r="J129" s="119"/>
      <c r="L129" s="59" t="str">
        <f>D132</f>
        <v>1011100</v>
      </c>
    </row>
    <row r="130" spans="1:12" ht="18.600000000000001" thickBot="1" x14ac:dyDescent="0.4">
      <c r="A130" s="186" t="str">
        <f>DEC2BIN(A128,4)</f>
        <v>1100</v>
      </c>
      <c r="B130" s="184" t="str">
        <f>MID(A130,4,1)</f>
        <v>0</v>
      </c>
      <c r="C130" s="260"/>
      <c r="D130" s="125"/>
      <c r="E130" s="126"/>
      <c r="F130" s="126"/>
      <c r="G130" s="126">
        <f>$B130*$A$4</f>
        <v>0</v>
      </c>
      <c r="H130" s="126">
        <f>$B130*$B$4</f>
        <v>0</v>
      </c>
      <c r="I130" s="126">
        <f>$B130*$C$4</f>
        <v>0</v>
      </c>
      <c r="J130" s="127">
        <f>$B130*$D$4</f>
        <v>0</v>
      </c>
    </row>
    <row r="131" spans="1:12" ht="18.600000000000001" thickBot="1" x14ac:dyDescent="0.4">
      <c r="A131" s="255" t="s">
        <v>144</v>
      </c>
      <c r="B131" s="256"/>
      <c r="C131" s="257"/>
      <c r="D131" s="178">
        <f>MOD(D127+D128+D129+D130,2)</f>
        <v>1</v>
      </c>
      <c r="E131" s="179">
        <f t="shared" ref="E131:J131" si="15">MOD(E127+E128+E129+E130,2)</f>
        <v>0</v>
      </c>
      <c r="F131" s="179">
        <f t="shared" si="15"/>
        <v>1</v>
      </c>
      <c r="G131" s="179">
        <f t="shared" si="15"/>
        <v>1</v>
      </c>
      <c r="H131" s="179">
        <f t="shared" si="15"/>
        <v>1</v>
      </c>
      <c r="I131" s="179">
        <f t="shared" si="15"/>
        <v>0</v>
      </c>
      <c r="J131" s="180">
        <f t="shared" si="15"/>
        <v>0</v>
      </c>
    </row>
    <row r="132" spans="1:12" ht="18.600000000000001" thickBot="1" x14ac:dyDescent="0.4">
      <c r="A132" s="258" t="s">
        <v>125</v>
      </c>
      <c r="B132" s="259"/>
      <c r="C132" s="260"/>
      <c r="D132" s="261" t="str">
        <f>D131&amp;E131&amp;F131&amp;G131&amp;H131&amp;I131&amp;J131</f>
        <v>1011100</v>
      </c>
      <c r="E132" s="262"/>
      <c r="F132" s="262"/>
      <c r="G132" s="262"/>
      <c r="H132" s="262"/>
      <c r="I132" s="262"/>
      <c r="J132" s="263"/>
    </row>
    <row r="135" spans="1:12" ht="18.600000000000001" thickBot="1" x14ac:dyDescent="0.4"/>
    <row r="136" spans="1:12" x14ac:dyDescent="0.35">
      <c r="A136" s="255" t="s">
        <v>140</v>
      </c>
      <c r="B136" s="256"/>
      <c r="C136" s="257"/>
      <c r="D136" s="248" t="s">
        <v>141</v>
      </c>
      <c r="E136" s="249"/>
      <c r="F136" s="249"/>
      <c r="G136" s="249"/>
      <c r="H136" s="249"/>
      <c r="I136" s="249"/>
      <c r="J136" s="250"/>
      <c r="L136" s="182" t="s">
        <v>140</v>
      </c>
    </row>
    <row r="137" spans="1:12" x14ac:dyDescent="0.35">
      <c r="A137" s="185" t="s">
        <v>68</v>
      </c>
      <c r="B137" s="183" t="str">
        <f>MID(A140,1,1)</f>
        <v>1</v>
      </c>
      <c r="C137" s="265"/>
      <c r="D137" s="118">
        <f>$B137*$A$4</f>
        <v>1</v>
      </c>
      <c r="E137" s="117">
        <f>$B137*$B$4</f>
        <v>1</v>
      </c>
      <c r="F137" s="117">
        <f>$B137*$C$4</f>
        <v>0</v>
      </c>
      <c r="G137" s="117">
        <f>$B137*$D$4</f>
        <v>1</v>
      </c>
      <c r="H137" s="117"/>
      <c r="I137" s="117"/>
      <c r="J137" s="119"/>
      <c r="L137" s="59" t="str">
        <f>A140</f>
        <v>1101</v>
      </c>
    </row>
    <row r="138" spans="1:12" x14ac:dyDescent="0.35">
      <c r="A138" s="188">
        <v>13</v>
      </c>
      <c r="B138" s="183" t="str">
        <f>MID(A140,2,1)</f>
        <v>1</v>
      </c>
      <c r="C138" s="265"/>
      <c r="D138" s="118"/>
      <c r="E138" s="117">
        <f>$B138*$A$4</f>
        <v>1</v>
      </c>
      <c r="F138" s="117">
        <f>$B138*$B$4</f>
        <v>1</v>
      </c>
      <c r="G138" s="117">
        <f>$B138*$C$4</f>
        <v>0</v>
      </c>
      <c r="H138" s="117">
        <f>$B138*$D$4</f>
        <v>1</v>
      </c>
      <c r="I138" s="117"/>
      <c r="J138" s="119"/>
      <c r="L138" s="182" t="s">
        <v>125</v>
      </c>
    </row>
    <row r="139" spans="1:12" x14ac:dyDescent="0.35">
      <c r="A139" s="185" t="s">
        <v>69</v>
      </c>
      <c r="B139" s="183" t="str">
        <f>MID(A140,3,1)</f>
        <v>0</v>
      </c>
      <c r="C139" s="265"/>
      <c r="D139" s="118"/>
      <c r="E139" s="117"/>
      <c r="F139" s="117">
        <f>$B139*$A$4</f>
        <v>0</v>
      </c>
      <c r="G139" s="117">
        <f>$B139*$B$4</f>
        <v>0</v>
      </c>
      <c r="H139" s="117">
        <f>$B139*$C$4</f>
        <v>0</v>
      </c>
      <c r="I139" s="117">
        <f>$B139*$D$4</f>
        <v>0</v>
      </c>
      <c r="J139" s="119"/>
      <c r="L139" s="59" t="str">
        <f>D142</f>
        <v>1010001</v>
      </c>
    </row>
    <row r="140" spans="1:12" ht="18.600000000000001" thickBot="1" x14ac:dyDescent="0.4">
      <c r="A140" s="186" t="str">
        <f>DEC2BIN(A138,4)</f>
        <v>1101</v>
      </c>
      <c r="B140" s="184" t="str">
        <f>MID(A140,4,1)</f>
        <v>1</v>
      </c>
      <c r="C140" s="260"/>
      <c r="D140" s="125"/>
      <c r="E140" s="126"/>
      <c r="F140" s="126"/>
      <c r="G140" s="126">
        <f>$B140*$A$4</f>
        <v>1</v>
      </c>
      <c r="H140" s="126">
        <f>$B140*$B$4</f>
        <v>1</v>
      </c>
      <c r="I140" s="126">
        <f>$B140*$C$4</f>
        <v>0</v>
      </c>
      <c r="J140" s="127">
        <f>$B140*$D$4</f>
        <v>1</v>
      </c>
    </row>
    <row r="141" spans="1:12" ht="18.600000000000001" thickBot="1" x14ac:dyDescent="0.4">
      <c r="A141" s="255" t="s">
        <v>144</v>
      </c>
      <c r="B141" s="256"/>
      <c r="C141" s="257"/>
      <c r="D141" s="178">
        <f>MOD(D137+D138+D139+D140,2)</f>
        <v>1</v>
      </c>
      <c r="E141" s="179">
        <f t="shared" ref="E141:J141" si="16">MOD(E137+E138+E139+E140,2)</f>
        <v>0</v>
      </c>
      <c r="F141" s="179">
        <f t="shared" si="16"/>
        <v>1</v>
      </c>
      <c r="G141" s="179">
        <f t="shared" si="16"/>
        <v>0</v>
      </c>
      <c r="H141" s="179">
        <f t="shared" si="16"/>
        <v>0</v>
      </c>
      <c r="I141" s="179">
        <f t="shared" si="16"/>
        <v>0</v>
      </c>
      <c r="J141" s="180">
        <f t="shared" si="16"/>
        <v>1</v>
      </c>
    </row>
    <row r="142" spans="1:12" ht="18.600000000000001" thickBot="1" x14ac:dyDescent="0.4">
      <c r="A142" s="258" t="s">
        <v>125</v>
      </c>
      <c r="B142" s="259"/>
      <c r="C142" s="260"/>
      <c r="D142" s="261" t="str">
        <f>D141&amp;E141&amp;F141&amp;G141&amp;H141&amp;I141&amp;J141</f>
        <v>1010001</v>
      </c>
      <c r="E142" s="262"/>
      <c r="F142" s="262"/>
      <c r="G142" s="262"/>
      <c r="H142" s="262"/>
      <c r="I142" s="262"/>
      <c r="J142" s="263"/>
    </row>
    <row r="145" spans="1:12" ht="18.600000000000001" thickBot="1" x14ac:dyDescent="0.4"/>
    <row r="146" spans="1:12" x14ac:dyDescent="0.35">
      <c r="A146" s="255" t="s">
        <v>140</v>
      </c>
      <c r="B146" s="256"/>
      <c r="C146" s="257"/>
      <c r="D146" s="248" t="s">
        <v>141</v>
      </c>
      <c r="E146" s="249"/>
      <c r="F146" s="249"/>
      <c r="G146" s="249"/>
      <c r="H146" s="249"/>
      <c r="I146" s="249"/>
      <c r="J146" s="250"/>
      <c r="L146" s="182" t="s">
        <v>140</v>
      </c>
    </row>
    <row r="147" spans="1:12" x14ac:dyDescent="0.35">
      <c r="A147" s="185" t="s">
        <v>68</v>
      </c>
      <c r="B147" s="183" t="str">
        <f>MID(A150,1,1)</f>
        <v>1</v>
      </c>
      <c r="C147" s="265"/>
      <c r="D147" s="118">
        <f>$B147*$A$4</f>
        <v>1</v>
      </c>
      <c r="E147" s="117">
        <f>$B147*$B$4</f>
        <v>1</v>
      </c>
      <c r="F147" s="117">
        <f>$B147*$C$4</f>
        <v>0</v>
      </c>
      <c r="G147" s="117">
        <f>$B147*$D$4</f>
        <v>1</v>
      </c>
      <c r="H147" s="117"/>
      <c r="I147" s="117"/>
      <c r="J147" s="119"/>
      <c r="L147" s="59" t="str">
        <f>A150</f>
        <v>1110</v>
      </c>
    </row>
    <row r="148" spans="1:12" x14ac:dyDescent="0.35">
      <c r="A148" s="188">
        <v>14</v>
      </c>
      <c r="B148" s="183" t="str">
        <f>MID(A150,2,1)</f>
        <v>1</v>
      </c>
      <c r="C148" s="265"/>
      <c r="D148" s="118"/>
      <c r="E148" s="117">
        <f>$B148*$A$4</f>
        <v>1</v>
      </c>
      <c r="F148" s="117">
        <f>$B148*$B$4</f>
        <v>1</v>
      </c>
      <c r="G148" s="117">
        <f>$B148*$C$4</f>
        <v>0</v>
      </c>
      <c r="H148" s="117">
        <f>$B148*$D$4</f>
        <v>1</v>
      </c>
      <c r="I148" s="117"/>
      <c r="J148" s="119"/>
      <c r="L148" s="182" t="s">
        <v>125</v>
      </c>
    </row>
    <row r="149" spans="1:12" x14ac:dyDescent="0.35">
      <c r="A149" s="185" t="s">
        <v>69</v>
      </c>
      <c r="B149" s="183" t="str">
        <f>MID(A150,3,1)</f>
        <v>1</v>
      </c>
      <c r="C149" s="265"/>
      <c r="D149" s="118"/>
      <c r="E149" s="117"/>
      <c r="F149" s="117">
        <f>$B149*$A$4</f>
        <v>1</v>
      </c>
      <c r="G149" s="117">
        <f>$B149*$B$4</f>
        <v>1</v>
      </c>
      <c r="H149" s="117">
        <f>$B149*$C$4</f>
        <v>0</v>
      </c>
      <c r="I149" s="117">
        <f>$B149*$D$4</f>
        <v>1</v>
      </c>
      <c r="J149" s="119"/>
      <c r="L149" s="59" t="str">
        <f>D152</f>
        <v>1000110</v>
      </c>
    </row>
    <row r="150" spans="1:12" ht="18.600000000000001" thickBot="1" x14ac:dyDescent="0.4">
      <c r="A150" s="186" t="str">
        <f>DEC2BIN(A148,4)</f>
        <v>1110</v>
      </c>
      <c r="B150" s="184" t="str">
        <f>MID(A150,4,1)</f>
        <v>0</v>
      </c>
      <c r="C150" s="260"/>
      <c r="D150" s="125"/>
      <c r="E150" s="126"/>
      <c r="F150" s="126"/>
      <c r="G150" s="126">
        <f>$B150*$A$4</f>
        <v>0</v>
      </c>
      <c r="H150" s="126">
        <f>$B150*$B$4</f>
        <v>0</v>
      </c>
      <c r="I150" s="126">
        <f>$B150*$C$4</f>
        <v>0</v>
      </c>
      <c r="J150" s="127">
        <f>$B150*$D$4</f>
        <v>0</v>
      </c>
    </row>
    <row r="151" spans="1:12" ht="18.600000000000001" thickBot="1" x14ac:dyDescent="0.4">
      <c r="A151" s="255" t="s">
        <v>144</v>
      </c>
      <c r="B151" s="256"/>
      <c r="C151" s="257"/>
      <c r="D151" s="178">
        <f>MOD(D147+D148+D149+D150,2)</f>
        <v>1</v>
      </c>
      <c r="E151" s="179">
        <f t="shared" ref="E151:J151" si="17">MOD(E147+E148+E149+E150,2)</f>
        <v>0</v>
      </c>
      <c r="F151" s="179">
        <f t="shared" si="17"/>
        <v>0</v>
      </c>
      <c r="G151" s="179">
        <f t="shared" si="17"/>
        <v>0</v>
      </c>
      <c r="H151" s="179">
        <f t="shared" si="17"/>
        <v>1</v>
      </c>
      <c r="I151" s="179">
        <f t="shared" si="17"/>
        <v>1</v>
      </c>
      <c r="J151" s="180">
        <f t="shared" si="17"/>
        <v>0</v>
      </c>
    </row>
    <row r="152" spans="1:12" ht="18.600000000000001" thickBot="1" x14ac:dyDescent="0.4">
      <c r="A152" s="258" t="s">
        <v>125</v>
      </c>
      <c r="B152" s="259"/>
      <c r="C152" s="260"/>
      <c r="D152" s="261" t="str">
        <f>D151&amp;E151&amp;F151&amp;G151&amp;H151&amp;I151&amp;J151</f>
        <v>1000110</v>
      </c>
      <c r="E152" s="262"/>
      <c r="F152" s="262"/>
      <c r="G152" s="262"/>
      <c r="H152" s="262"/>
      <c r="I152" s="262"/>
      <c r="J152" s="263"/>
    </row>
    <row r="155" spans="1:12" ht="18.600000000000001" thickBot="1" x14ac:dyDescent="0.4"/>
    <row r="156" spans="1:12" x14ac:dyDescent="0.35">
      <c r="A156" s="255" t="s">
        <v>140</v>
      </c>
      <c r="B156" s="256"/>
      <c r="C156" s="257"/>
      <c r="D156" s="248" t="s">
        <v>141</v>
      </c>
      <c r="E156" s="249"/>
      <c r="F156" s="249"/>
      <c r="G156" s="249"/>
      <c r="H156" s="249"/>
      <c r="I156" s="249"/>
      <c r="J156" s="250"/>
      <c r="L156" s="182" t="s">
        <v>140</v>
      </c>
    </row>
    <row r="157" spans="1:12" x14ac:dyDescent="0.35">
      <c r="A157" s="185" t="s">
        <v>68</v>
      </c>
      <c r="B157" s="183" t="str">
        <f>MID(A160,1,1)</f>
        <v>1</v>
      </c>
      <c r="C157" s="265"/>
      <c r="D157" s="118">
        <f>$B157*$A$4</f>
        <v>1</v>
      </c>
      <c r="E157" s="117">
        <f>$B157*$B$4</f>
        <v>1</v>
      </c>
      <c r="F157" s="117">
        <f>$B157*$C$4</f>
        <v>0</v>
      </c>
      <c r="G157" s="117">
        <f>$B157*$D$4</f>
        <v>1</v>
      </c>
      <c r="H157" s="117"/>
      <c r="I157" s="117"/>
      <c r="J157" s="119"/>
      <c r="L157" s="59" t="str">
        <f>A160</f>
        <v>1111</v>
      </c>
    </row>
    <row r="158" spans="1:12" x14ac:dyDescent="0.35">
      <c r="A158" s="188">
        <v>15</v>
      </c>
      <c r="B158" s="183" t="str">
        <f>MID(A160,2,1)</f>
        <v>1</v>
      </c>
      <c r="C158" s="265"/>
      <c r="D158" s="118"/>
      <c r="E158" s="117">
        <f>$B158*$A$4</f>
        <v>1</v>
      </c>
      <c r="F158" s="117">
        <f>$B158*$B$4</f>
        <v>1</v>
      </c>
      <c r="G158" s="117">
        <f>$B158*$C$4</f>
        <v>0</v>
      </c>
      <c r="H158" s="117">
        <f>$B158*$D$4</f>
        <v>1</v>
      </c>
      <c r="I158" s="117"/>
      <c r="J158" s="119"/>
      <c r="L158" s="182" t="s">
        <v>125</v>
      </c>
    </row>
    <row r="159" spans="1:12" x14ac:dyDescent="0.35">
      <c r="A159" s="185" t="s">
        <v>69</v>
      </c>
      <c r="B159" s="183" t="str">
        <f>MID(A160,3,1)</f>
        <v>1</v>
      </c>
      <c r="C159" s="265"/>
      <c r="D159" s="118"/>
      <c r="E159" s="117"/>
      <c r="F159" s="117">
        <f>$B159*$A$4</f>
        <v>1</v>
      </c>
      <c r="G159" s="117">
        <f>$B159*$B$4</f>
        <v>1</v>
      </c>
      <c r="H159" s="117">
        <f>$B159*$C$4</f>
        <v>0</v>
      </c>
      <c r="I159" s="117">
        <f>$B159*$D$4</f>
        <v>1</v>
      </c>
      <c r="J159" s="119"/>
      <c r="L159" s="59" t="str">
        <f>D162</f>
        <v>1001011</v>
      </c>
    </row>
    <row r="160" spans="1:12" ht="18.600000000000001" thickBot="1" x14ac:dyDescent="0.4">
      <c r="A160" s="186" t="str">
        <f>DEC2BIN(A158,4)</f>
        <v>1111</v>
      </c>
      <c r="B160" s="184" t="str">
        <f>MID(A160,4,1)</f>
        <v>1</v>
      </c>
      <c r="C160" s="260"/>
      <c r="D160" s="125"/>
      <c r="E160" s="126"/>
      <c r="F160" s="126"/>
      <c r="G160" s="126">
        <f>$B160*$A$4</f>
        <v>1</v>
      </c>
      <c r="H160" s="126">
        <f>$B160*$B$4</f>
        <v>1</v>
      </c>
      <c r="I160" s="126">
        <f>$B160*$C$4</f>
        <v>0</v>
      </c>
      <c r="J160" s="127">
        <f>$B160*$D$4</f>
        <v>1</v>
      </c>
    </row>
    <row r="161" spans="1:10" ht="18.600000000000001" thickBot="1" x14ac:dyDescent="0.4">
      <c r="A161" s="255" t="s">
        <v>144</v>
      </c>
      <c r="B161" s="256"/>
      <c r="C161" s="257"/>
      <c r="D161" s="178">
        <f>MOD(D157+D158+D159+D160,2)</f>
        <v>1</v>
      </c>
      <c r="E161" s="179">
        <f t="shared" ref="E161:J161" si="18">MOD(E157+E158+E159+E160,2)</f>
        <v>0</v>
      </c>
      <c r="F161" s="179">
        <f t="shared" si="18"/>
        <v>0</v>
      </c>
      <c r="G161" s="179">
        <f t="shared" si="18"/>
        <v>1</v>
      </c>
      <c r="H161" s="179">
        <f t="shared" si="18"/>
        <v>0</v>
      </c>
      <c r="I161" s="179">
        <f t="shared" si="18"/>
        <v>1</v>
      </c>
      <c r="J161" s="180">
        <f t="shared" si="18"/>
        <v>1</v>
      </c>
    </row>
    <row r="162" spans="1:10" ht="18.600000000000001" thickBot="1" x14ac:dyDescent="0.4">
      <c r="A162" s="258" t="s">
        <v>125</v>
      </c>
      <c r="B162" s="259"/>
      <c r="C162" s="260"/>
      <c r="D162" s="261" t="str">
        <f>D161&amp;E161&amp;F161&amp;G161&amp;H161&amp;I161&amp;J161</f>
        <v>1001011</v>
      </c>
      <c r="E162" s="262"/>
      <c r="F162" s="262"/>
      <c r="G162" s="262"/>
      <c r="H162" s="262"/>
      <c r="I162" s="262"/>
      <c r="J162" s="263"/>
    </row>
    <row r="172" spans="1:10" x14ac:dyDescent="0.35">
      <c r="A172" s="264"/>
      <c r="B172" s="214"/>
      <c r="C172" s="214"/>
      <c r="D172" s="214"/>
      <c r="E172" s="214"/>
      <c r="F172" s="214"/>
      <c r="G172" s="214"/>
      <c r="H172" s="214"/>
      <c r="I172" s="214"/>
      <c r="J172" s="214"/>
    </row>
  </sheetData>
  <mergeCells count="101">
    <mergeCell ref="A2:D2"/>
    <mergeCell ref="A3:C3"/>
    <mergeCell ref="O4:Q4"/>
    <mergeCell ref="A6:B6"/>
    <mergeCell ref="C6:C10"/>
    <mergeCell ref="D6:J6"/>
    <mergeCell ref="A21:C21"/>
    <mergeCell ref="A22:C22"/>
    <mergeCell ref="D22:J22"/>
    <mergeCell ref="A26:B26"/>
    <mergeCell ref="C26:C30"/>
    <mergeCell ref="D26:J26"/>
    <mergeCell ref="A11:C11"/>
    <mergeCell ref="A12:C12"/>
    <mergeCell ref="D12:J12"/>
    <mergeCell ref="A16:B16"/>
    <mergeCell ref="C16:C20"/>
    <mergeCell ref="D16:J16"/>
    <mergeCell ref="A41:C41"/>
    <mergeCell ref="A42:C42"/>
    <mergeCell ref="D42:J42"/>
    <mergeCell ref="A46:B46"/>
    <mergeCell ref="C46:C50"/>
    <mergeCell ref="D46:J46"/>
    <mergeCell ref="A31:C31"/>
    <mergeCell ref="A32:C32"/>
    <mergeCell ref="D32:J32"/>
    <mergeCell ref="A36:B36"/>
    <mergeCell ref="C36:C40"/>
    <mergeCell ref="D36:J36"/>
    <mergeCell ref="A61:C61"/>
    <mergeCell ref="A62:C62"/>
    <mergeCell ref="D62:J62"/>
    <mergeCell ref="A66:B66"/>
    <mergeCell ref="C66:C70"/>
    <mergeCell ref="D66:J66"/>
    <mergeCell ref="A51:C51"/>
    <mergeCell ref="A52:C52"/>
    <mergeCell ref="D52:J52"/>
    <mergeCell ref="A56:B56"/>
    <mergeCell ref="C56:C60"/>
    <mergeCell ref="D56:J56"/>
    <mergeCell ref="A81:C81"/>
    <mergeCell ref="A82:C82"/>
    <mergeCell ref="D82:J82"/>
    <mergeCell ref="A86:B86"/>
    <mergeCell ref="C86:C90"/>
    <mergeCell ref="D86:J86"/>
    <mergeCell ref="A71:C71"/>
    <mergeCell ref="A72:C72"/>
    <mergeCell ref="D72:J72"/>
    <mergeCell ref="A76:B76"/>
    <mergeCell ref="C76:C80"/>
    <mergeCell ref="D76:J76"/>
    <mergeCell ref="A101:C101"/>
    <mergeCell ref="A102:C102"/>
    <mergeCell ref="D102:J102"/>
    <mergeCell ref="A106:B106"/>
    <mergeCell ref="C106:C110"/>
    <mergeCell ref="D106:J106"/>
    <mergeCell ref="A91:C91"/>
    <mergeCell ref="A92:C92"/>
    <mergeCell ref="D92:J92"/>
    <mergeCell ref="A96:B96"/>
    <mergeCell ref="C96:C100"/>
    <mergeCell ref="D96:J96"/>
    <mergeCell ref="A121:C121"/>
    <mergeCell ref="A122:C122"/>
    <mergeCell ref="D122:J122"/>
    <mergeCell ref="A126:B126"/>
    <mergeCell ref="C126:C130"/>
    <mergeCell ref="D126:J126"/>
    <mergeCell ref="A111:C111"/>
    <mergeCell ref="A112:C112"/>
    <mergeCell ref="D112:J112"/>
    <mergeCell ref="A116:B116"/>
    <mergeCell ref="C116:C120"/>
    <mergeCell ref="D116:J116"/>
    <mergeCell ref="A141:C141"/>
    <mergeCell ref="A142:C142"/>
    <mergeCell ref="D142:J142"/>
    <mergeCell ref="A146:B146"/>
    <mergeCell ref="C146:C150"/>
    <mergeCell ref="D146:J146"/>
    <mergeCell ref="A131:C131"/>
    <mergeCell ref="A132:C132"/>
    <mergeCell ref="D132:J132"/>
    <mergeCell ref="A136:B136"/>
    <mergeCell ref="C136:C140"/>
    <mergeCell ref="D136:J136"/>
    <mergeCell ref="A161:C161"/>
    <mergeCell ref="A162:C162"/>
    <mergeCell ref="D162:J162"/>
    <mergeCell ref="A172:C172"/>
    <mergeCell ref="D172:J172"/>
    <mergeCell ref="A151:C151"/>
    <mergeCell ref="A152:C152"/>
    <mergeCell ref="D152:J152"/>
    <mergeCell ref="A156:B156"/>
    <mergeCell ref="C156:C160"/>
    <mergeCell ref="D156:J156"/>
  </mergeCells>
  <conditionalFormatting sqref="U6:AJ21">
    <cfRule type="cellIs" dxfId="7" priority="1" operator="equal">
      <formula>7</formula>
    </cfRule>
    <cfRule type="cellIs" dxfId="6" priority="2" operator="greaterThan">
      <formula>3</formula>
    </cfRule>
    <cfRule type="cellIs" dxfId="5" priority="3" operator="equal">
      <formula>3</formula>
    </cfRule>
    <cfRule type="cellIs" dxfId="4" priority="4" operator="lessThan">
      <formula>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7A10-0D61-4E29-99A1-4A2537029FD6}">
  <dimension ref="A1:AY108"/>
  <sheetViews>
    <sheetView topLeftCell="A21" workbookViewId="0">
      <selection activeCell="AI31" sqref="AI31"/>
    </sheetView>
  </sheetViews>
  <sheetFormatPr defaultRowHeight="18" x14ac:dyDescent="0.35"/>
  <cols>
    <col min="1" max="1" width="4.33203125" style="3" bestFit="1" customWidth="1"/>
    <col min="2" max="2" width="6.33203125" style="3" customWidth="1"/>
    <col min="3" max="3" width="3.88671875" style="3" bestFit="1" customWidth="1"/>
    <col min="4" max="6" width="3.109375" style="3" bestFit="1" customWidth="1"/>
    <col min="7" max="7" width="5" style="3" customWidth="1"/>
    <col min="8" max="8" width="3.44140625" style="3" bestFit="1" customWidth="1"/>
    <col min="9" max="14" width="3.109375" style="3" bestFit="1" customWidth="1"/>
    <col min="15" max="15" width="13.77734375" style="3" bestFit="1" customWidth="1"/>
    <col min="16" max="16" width="5.5546875" style="3" customWidth="1"/>
    <col min="17" max="17" width="5.88671875" style="3" bestFit="1" customWidth="1"/>
    <col min="18" max="18" width="5" style="3" bestFit="1" customWidth="1"/>
    <col min="19" max="19" width="7.109375" style="3" bestFit="1" customWidth="1"/>
    <col min="20" max="23" width="3.109375" style="3" bestFit="1" customWidth="1"/>
    <col min="24" max="24" width="3" style="3" bestFit="1" customWidth="1"/>
    <col min="25" max="31" width="3.109375" style="3" bestFit="1" customWidth="1"/>
    <col min="32" max="32" width="3" style="3" bestFit="1" customWidth="1"/>
    <col min="33" max="33" width="11.44140625" style="3" bestFit="1" customWidth="1"/>
    <col min="34" max="34" width="9.88671875" style="3" bestFit="1" customWidth="1"/>
    <col min="35" max="35" width="10.88671875" style="3" customWidth="1"/>
    <col min="36" max="36" width="14.109375" style="3" bestFit="1" customWidth="1"/>
    <col min="37" max="37" width="2.33203125" style="3" bestFit="1" customWidth="1"/>
    <col min="38" max="38" width="34.6640625" style="3" bestFit="1" customWidth="1"/>
    <col min="39" max="39" width="8.88671875" style="3"/>
    <col min="40" max="40" width="10" style="3" customWidth="1"/>
    <col min="41" max="41" width="10.5546875" style="3" customWidth="1"/>
    <col min="42" max="16384" width="8.88671875" style="3"/>
  </cols>
  <sheetData>
    <row r="1" spans="1:36" x14ac:dyDescent="0.35">
      <c r="B1" s="57" t="s">
        <v>147</v>
      </c>
      <c r="C1" s="57" t="s">
        <v>148</v>
      </c>
      <c r="D1" s="57" t="s">
        <v>149</v>
      </c>
      <c r="E1" s="57" t="s">
        <v>150</v>
      </c>
      <c r="F1" s="57" t="s">
        <v>151</v>
      </c>
      <c r="G1" s="57" t="s">
        <v>152</v>
      </c>
      <c r="H1" s="57" t="s">
        <v>153</v>
      </c>
    </row>
    <row r="2" spans="1:36" x14ac:dyDescent="0.35">
      <c r="B2" s="196">
        <v>1</v>
      </c>
      <c r="C2" s="197">
        <v>0</v>
      </c>
      <c r="D2" s="197">
        <v>0</v>
      </c>
      <c r="E2" s="197">
        <v>0</v>
      </c>
      <c r="F2" s="198">
        <v>1</v>
      </c>
      <c r="G2" s="198">
        <v>0</v>
      </c>
      <c r="H2" s="199">
        <v>1</v>
      </c>
      <c r="J2" s="278" t="s">
        <v>154</v>
      </c>
      <c r="K2" s="214"/>
      <c r="L2" s="214"/>
      <c r="M2" s="214"/>
      <c r="N2" s="279" t="s">
        <v>155</v>
      </c>
      <c r="O2" s="279"/>
      <c r="P2" s="279"/>
    </row>
    <row r="3" spans="1:36" x14ac:dyDescent="0.35">
      <c r="A3" s="281" t="s">
        <v>156</v>
      </c>
      <c r="B3" s="196">
        <v>0</v>
      </c>
      <c r="C3" s="197">
        <v>1</v>
      </c>
      <c r="D3" s="197">
        <v>0</v>
      </c>
      <c r="E3" s="197">
        <v>0</v>
      </c>
      <c r="F3" s="198">
        <v>1</v>
      </c>
      <c r="G3" s="198">
        <v>1</v>
      </c>
      <c r="H3" s="199">
        <v>1</v>
      </c>
      <c r="I3" s="280" t="s">
        <v>157</v>
      </c>
      <c r="J3" s="278" t="s">
        <v>158</v>
      </c>
      <c r="K3" s="214"/>
      <c r="L3" s="214"/>
      <c r="M3" s="214"/>
      <c r="N3" s="279" t="s">
        <v>159</v>
      </c>
      <c r="O3" s="279"/>
      <c r="P3" s="279"/>
    </row>
    <row r="4" spans="1:36" x14ac:dyDescent="0.35">
      <c r="A4" s="281"/>
      <c r="B4" s="196">
        <v>0</v>
      </c>
      <c r="C4" s="197">
        <v>0</v>
      </c>
      <c r="D4" s="197">
        <v>1</v>
      </c>
      <c r="E4" s="197">
        <v>0</v>
      </c>
      <c r="F4" s="198">
        <v>1</v>
      </c>
      <c r="G4" s="198">
        <v>1</v>
      </c>
      <c r="H4" s="199">
        <v>0</v>
      </c>
      <c r="I4" s="280"/>
      <c r="J4" s="278" t="s">
        <v>160</v>
      </c>
      <c r="K4" s="214"/>
      <c r="L4" s="214"/>
      <c r="M4" s="214"/>
      <c r="N4" s="279" t="s">
        <v>161</v>
      </c>
      <c r="O4" s="279"/>
      <c r="P4" s="279"/>
    </row>
    <row r="5" spans="1:36" x14ac:dyDescent="0.35">
      <c r="B5" s="196">
        <v>0</v>
      </c>
      <c r="C5" s="197">
        <v>0</v>
      </c>
      <c r="D5" s="197">
        <v>0</v>
      </c>
      <c r="E5" s="197">
        <v>1</v>
      </c>
      <c r="F5" s="198">
        <v>0</v>
      </c>
      <c r="G5" s="198">
        <v>1</v>
      </c>
      <c r="H5" s="199">
        <v>1</v>
      </c>
      <c r="J5" s="278" t="s">
        <v>162</v>
      </c>
      <c r="K5" s="214"/>
      <c r="L5" s="214"/>
      <c r="M5" s="214"/>
      <c r="N5" s="279" t="s">
        <v>163</v>
      </c>
      <c r="O5" s="279"/>
      <c r="P5" s="279"/>
    </row>
    <row r="6" spans="1:36" x14ac:dyDescent="0.35">
      <c r="Y6" s="214" t="s">
        <v>164</v>
      </c>
      <c r="Z6" s="214"/>
      <c r="AA6" s="214"/>
      <c r="AB6" s="214"/>
      <c r="AC6" s="214"/>
      <c r="AD6" s="214"/>
      <c r="AE6" s="214"/>
    </row>
    <row r="7" spans="1:36" x14ac:dyDescent="0.35">
      <c r="D7" s="214" t="s">
        <v>165</v>
      </c>
      <c r="E7" s="214"/>
      <c r="F7" s="214"/>
      <c r="G7" s="214"/>
      <c r="Q7" s="57" t="s">
        <v>147</v>
      </c>
      <c r="R7" s="57" t="s">
        <v>148</v>
      </c>
      <c r="S7" s="57" t="s">
        <v>149</v>
      </c>
      <c r="T7" s="57" t="s">
        <v>150</v>
      </c>
      <c r="U7" s="57" t="s">
        <v>151</v>
      </c>
      <c r="V7" s="57" t="s">
        <v>152</v>
      </c>
      <c r="W7" s="57" t="s">
        <v>153</v>
      </c>
      <c r="Y7" s="57" t="s">
        <v>147</v>
      </c>
      <c r="Z7" s="57" t="s">
        <v>148</v>
      </c>
      <c r="AA7" s="57" t="s">
        <v>149</v>
      </c>
      <c r="AB7" s="57" t="s">
        <v>150</v>
      </c>
      <c r="AC7" s="57" t="s">
        <v>151</v>
      </c>
      <c r="AD7" s="57" t="s">
        <v>152</v>
      </c>
      <c r="AE7" s="57" t="s">
        <v>153</v>
      </c>
      <c r="AG7" s="57" t="s">
        <v>166</v>
      </c>
      <c r="AI7" s="57" t="s">
        <v>167</v>
      </c>
      <c r="AJ7" s="57" t="s">
        <v>168</v>
      </c>
    </row>
    <row r="8" spans="1:36" x14ac:dyDescent="0.35">
      <c r="B8" s="191">
        <v>0</v>
      </c>
      <c r="D8" s="189">
        <v>0</v>
      </c>
      <c r="E8" s="57">
        <v>0</v>
      </c>
      <c r="F8" s="57">
        <v>0</v>
      </c>
      <c r="G8" s="190">
        <v>0</v>
      </c>
      <c r="Q8" s="192">
        <f t="array" ref="Q8:W23">MMULT(D8:G23,I14:O17)</f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193">
        <v>0</v>
      </c>
      <c r="Y8" s="192">
        <f>MOD(Q8,2)</f>
        <v>0</v>
      </c>
      <c r="Z8" s="3">
        <f t="shared" ref="Z8:AE23" si="0">MOD(R8,2)</f>
        <v>0</v>
      </c>
      <c r="AA8" s="3">
        <f t="shared" si="0"/>
        <v>0</v>
      </c>
      <c r="AB8" s="3">
        <f t="shared" si="0"/>
        <v>0</v>
      </c>
      <c r="AC8" s="3">
        <f t="shared" si="0"/>
        <v>0</v>
      </c>
      <c r="AD8" s="3">
        <f t="shared" si="0"/>
        <v>0</v>
      </c>
      <c r="AE8" s="193">
        <f t="shared" si="0"/>
        <v>0</v>
      </c>
      <c r="AG8" s="194" t="str">
        <f>_xlfn.CONCAT(Y8:AE8)</f>
        <v>0000000</v>
      </c>
      <c r="AI8" s="117" t="str">
        <f>AG8</f>
        <v>0000000</v>
      </c>
      <c r="AJ8" s="59" t="str">
        <f t="shared" ref="AJ8:AJ23" si="1">VLOOKUP(AI8,ЦК_бин_таблица,5,0)</f>
        <v>0</v>
      </c>
    </row>
    <row r="9" spans="1:36" x14ac:dyDescent="0.35">
      <c r="B9" s="191">
        <v>1</v>
      </c>
      <c r="D9" s="189">
        <v>0</v>
      </c>
      <c r="E9" s="57">
        <v>0</v>
      </c>
      <c r="F9" s="57">
        <v>0</v>
      </c>
      <c r="G9" s="190">
        <v>1</v>
      </c>
      <c r="Q9" s="192">
        <v>0</v>
      </c>
      <c r="R9" s="3">
        <v>0</v>
      </c>
      <c r="S9" s="3">
        <v>0</v>
      </c>
      <c r="T9" s="3">
        <v>1</v>
      </c>
      <c r="U9" s="3">
        <v>0</v>
      </c>
      <c r="V9" s="3">
        <v>1</v>
      </c>
      <c r="W9" s="193">
        <v>1</v>
      </c>
      <c r="Y9" s="192">
        <f t="shared" ref="Y9:Y23" si="2">MOD(Q9,2)</f>
        <v>0</v>
      </c>
      <c r="Z9" s="3">
        <f t="shared" si="0"/>
        <v>0</v>
      </c>
      <c r="AA9" s="3">
        <f t="shared" si="0"/>
        <v>0</v>
      </c>
      <c r="AB9" s="3">
        <f t="shared" si="0"/>
        <v>1</v>
      </c>
      <c r="AC9" s="3">
        <f t="shared" si="0"/>
        <v>0</v>
      </c>
      <c r="AD9" s="3">
        <f t="shared" si="0"/>
        <v>1</v>
      </c>
      <c r="AE9" s="193">
        <f t="shared" si="0"/>
        <v>1</v>
      </c>
      <c r="AG9" s="194" t="str">
        <f t="shared" ref="AG9:AG23" si="3">_xlfn.CONCAT(Y9:AE9)</f>
        <v>0001011</v>
      </c>
      <c r="AI9" s="117" t="str">
        <f t="shared" ref="AI9:AI23" si="4">AG9</f>
        <v>0001011</v>
      </c>
      <c r="AJ9" s="59" t="str">
        <f t="shared" si="1"/>
        <v>B</v>
      </c>
    </row>
    <row r="10" spans="1:36" x14ac:dyDescent="0.35">
      <c r="B10" s="191">
        <v>2</v>
      </c>
      <c r="D10" s="189">
        <v>0</v>
      </c>
      <c r="E10" s="57">
        <v>0</v>
      </c>
      <c r="F10" s="57">
        <v>1</v>
      </c>
      <c r="G10" s="190">
        <v>0</v>
      </c>
      <c r="Q10" s="192">
        <v>0</v>
      </c>
      <c r="R10" s="3">
        <v>0</v>
      </c>
      <c r="S10" s="3">
        <v>1</v>
      </c>
      <c r="T10" s="3">
        <v>0</v>
      </c>
      <c r="U10" s="3">
        <v>1</v>
      </c>
      <c r="V10" s="3">
        <v>1</v>
      </c>
      <c r="W10" s="193">
        <v>0</v>
      </c>
      <c r="Y10" s="192">
        <f t="shared" si="2"/>
        <v>0</v>
      </c>
      <c r="Z10" s="3">
        <f t="shared" si="0"/>
        <v>0</v>
      </c>
      <c r="AA10" s="3">
        <f t="shared" si="0"/>
        <v>1</v>
      </c>
      <c r="AB10" s="3">
        <f t="shared" si="0"/>
        <v>0</v>
      </c>
      <c r="AC10" s="3">
        <f t="shared" si="0"/>
        <v>1</v>
      </c>
      <c r="AD10" s="3">
        <f t="shared" si="0"/>
        <v>1</v>
      </c>
      <c r="AE10" s="193">
        <f t="shared" si="0"/>
        <v>0</v>
      </c>
      <c r="AG10" s="194" t="str">
        <f t="shared" si="3"/>
        <v>0010110</v>
      </c>
      <c r="AI10" s="117" t="str">
        <f t="shared" si="4"/>
        <v>0010110</v>
      </c>
      <c r="AJ10" s="59" t="str">
        <f t="shared" si="1"/>
        <v>16</v>
      </c>
    </row>
    <row r="11" spans="1:36" x14ac:dyDescent="0.35">
      <c r="B11" s="191">
        <v>3</v>
      </c>
      <c r="D11" s="189">
        <v>0</v>
      </c>
      <c r="E11" s="57">
        <v>0</v>
      </c>
      <c r="F11" s="57">
        <v>1</v>
      </c>
      <c r="G11" s="190">
        <v>1</v>
      </c>
      <c r="Q11" s="192">
        <v>0</v>
      </c>
      <c r="R11" s="3">
        <v>0</v>
      </c>
      <c r="S11" s="3">
        <v>1</v>
      </c>
      <c r="T11" s="3">
        <v>1</v>
      </c>
      <c r="U11" s="3">
        <v>1</v>
      </c>
      <c r="V11" s="3">
        <v>2</v>
      </c>
      <c r="W11" s="193">
        <v>1</v>
      </c>
      <c r="Y11" s="192">
        <f t="shared" si="2"/>
        <v>0</v>
      </c>
      <c r="Z11" s="3">
        <f t="shared" si="0"/>
        <v>0</v>
      </c>
      <c r="AA11" s="3">
        <f t="shared" si="0"/>
        <v>1</v>
      </c>
      <c r="AB11" s="3">
        <f t="shared" si="0"/>
        <v>1</v>
      </c>
      <c r="AC11" s="3">
        <f t="shared" si="0"/>
        <v>1</v>
      </c>
      <c r="AD11" s="3">
        <f t="shared" si="0"/>
        <v>0</v>
      </c>
      <c r="AE11" s="193">
        <f t="shared" si="0"/>
        <v>1</v>
      </c>
      <c r="AG11" s="194" t="str">
        <f t="shared" si="3"/>
        <v>0011101</v>
      </c>
      <c r="AI11" s="117" t="str">
        <f t="shared" si="4"/>
        <v>0011101</v>
      </c>
      <c r="AJ11" s="59" t="str">
        <f t="shared" si="1"/>
        <v>1D</v>
      </c>
    </row>
    <row r="12" spans="1:36" x14ac:dyDescent="0.35">
      <c r="B12" s="191">
        <v>4</v>
      </c>
      <c r="D12" s="189">
        <v>0</v>
      </c>
      <c r="E12" s="57">
        <v>1</v>
      </c>
      <c r="F12" s="57">
        <v>0</v>
      </c>
      <c r="G12" s="190">
        <v>0</v>
      </c>
      <c r="Q12" s="192">
        <v>0</v>
      </c>
      <c r="R12" s="3">
        <v>1</v>
      </c>
      <c r="S12" s="3">
        <v>0</v>
      </c>
      <c r="T12" s="3">
        <v>0</v>
      </c>
      <c r="U12" s="3">
        <v>1</v>
      </c>
      <c r="V12" s="3">
        <v>1</v>
      </c>
      <c r="W12" s="193">
        <v>1</v>
      </c>
      <c r="Y12" s="192">
        <f t="shared" si="2"/>
        <v>0</v>
      </c>
      <c r="Z12" s="3">
        <f t="shared" si="0"/>
        <v>1</v>
      </c>
      <c r="AA12" s="3">
        <f t="shared" si="0"/>
        <v>0</v>
      </c>
      <c r="AB12" s="3">
        <f t="shared" si="0"/>
        <v>0</v>
      </c>
      <c r="AC12" s="3">
        <f t="shared" si="0"/>
        <v>1</v>
      </c>
      <c r="AD12" s="3">
        <f t="shared" si="0"/>
        <v>1</v>
      </c>
      <c r="AE12" s="193">
        <f t="shared" si="0"/>
        <v>1</v>
      </c>
      <c r="AG12" s="194" t="str">
        <f t="shared" si="3"/>
        <v>0100111</v>
      </c>
      <c r="AI12" s="117" t="str">
        <f t="shared" si="4"/>
        <v>0100111</v>
      </c>
      <c r="AJ12" s="59" t="str">
        <f t="shared" si="1"/>
        <v>27</v>
      </c>
    </row>
    <row r="13" spans="1:36" x14ac:dyDescent="0.35">
      <c r="B13" s="191">
        <v>5</v>
      </c>
      <c r="D13" s="189">
        <v>0</v>
      </c>
      <c r="E13" s="57">
        <v>1</v>
      </c>
      <c r="F13" s="57">
        <v>0</v>
      </c>
      <c r="G13" s="190">
        <v>1</v>
      </c>
      <c r="I13" s="57" t="s">
        <v>147</v>
      </c>
      <c r="J13" s="57" t="s">
        <v>148</v>
      </c>
      <c r="K13" s="57" t="s">
        <v>149</v>
      </c>
      <c r="L13" s="57" t="s">
        <v>150</v>
      </c>
      <c r="M13" s="57" t="s">
        <v>151</v>
      </c>
      <c r="N13" s="57" t="s">
        <v>152</v>
      </c>
      <c r="O13" s="57" t="s">
        <v>153</v>
      </c>
      <c r="Q13" s="192">
        <v>0</v>
      </c>
      <c r="R13" s="3">
        <v>1</v>
      </c>
      <c r="S13" s="3">
        <v>0</v>
      </c>
      <c r="T13" s="3">
        <v>1</v>
      </c>
      <c r="U13" s="3">
        <v>1</v>
      </c>
      <c r="V13" s="3">
        <v>2</v>
      </c>
      <c r="W13" s="193">
        <v>2</v>
      </c>
      <c r="Y13" s="192">
        <f t="shared" si="2"/>
        <v>0</v>
      </c>
      <c r="Z13" s="3">
        <f t="shared" si="0"/>
        <v>1</v>
      </c>
      <c r="AA13" s="3">
        <f t="shared" si="0"/>
        <v>0</v>
      </c>
      <c r="AB13" s="3">
        <f t="shared" si="0"/>
        <v>1</v>
      </c>
      <c r="AC13" s="3">
        <f t="shared" si="0"/>
        <v>1</v>
      </c>
      <c r="AD13" s="3">
        <f t="shared" si="0"/>
        <v>0</v>
      </c>
      <c r="AE13" s="193">
        <f t="shared" si="0"/>
        <v>0</v>
      </c>
      <c r="AG13" s="194" t="str">
        <f t="shared" si="3"/>
        <v>0101100</v>
      </c>
      <c r="AI13" s="117" t="str">
        <f t="shared" si="4"/>
        <v>0101100</v>
      </c>
      <c r="AJ13" s="59" t="str">
        <f t="shared" si="1"/>
        <v>2C</v>
      </c>
    </row>
    <row r="14" spans="1:36" x14ac:dyDescent="0.35">
      <c r="B14" s="191">
        <v>6</v>
      </c>
      <c r="D14" s="189">
        <v>0</v>
      </c>
      <c r="E14" s="57">
        <v>1</v>
      </c>
      <c r="F14" s="57">
        <v>1</v>
      </c>
      <c r="G14" s="190">
        <v>0</v>
      </c>
      <c r="I14" s="196">
        <v>1</v>
      </c>
      <c r="J14" s="197">
        <v>0</v>
      </c>
      <c r="K14" s="197">
        <v>0</v>
      </c>
      <c r="L14" s="197">
        <v>0</v>
      </c>
      <c r="M14" s="198">
        <v>1</v>
      </c>
      <c r="N14" s="198">
        <v>0</v>
      </c>
      <c r="O14" s="199">
        <v>1</v>
      </c>
      <c r="Q14" s="192">
        <v>0</v>
      </c>
      <c r="R14" s="3">
        <v>1</v>
      </c>
      <c r="S14" s="3">
        <v>1</v>
      </c>
      <c r="T14" s="3">
        <v>0</v>
      </c>
      <c r="U14" s="3">
        <v>2</v>
      </c>
      <c r="V14" s="3">
        <v>2</v>
      </c>
      <c r="W14" s="193">
        <v>1</v>
      </c>
      <c r="Y14" s="192">
        <f t="shared" si="2"/>
        <v>0</v>
      </c>
      <c r="Z14" s="3">
        <f t="shared" si="0"/>
        <v>1</v>
      </c>
      <c r="AA14" s="3">
        <f t="shared" si="0"/>
        <v>1</v>
      </c>
      <c r="AB14" s="3">
        <f t="shared" si="0"/>
        <v>0</v>
      </c>
      <c r="AC14" s="3">
        <f t="shared" si="0"/>
        <v>0</v>
      </c>
      <c r="AD14" s="3">
        <f t="shared" si="0"/>
        <v>0</v>
      </c>
      <c r="AE14" s="193">
        <f t="shared" si="0"/>
        <v>1</v>
      </c>
      <c r="AG14" s="194" t="str">
        <f t="shared" si="3"/>
        <v>0110001</v>
      </c>
      <c r="AI14" s="117" t="str">
        <f t="shared" si="4"/>
        <v>0110001</v>
      </c>
      <c r="AJ14" s="59" t="str">
        <f t="shared" si="1"/>
        <v>31</v>
      </c>
    </row>
    <row r="15" spans="1:36" x14ac:dyDescent="0.35">
      <c r="A15" s="281" t="s">
        <v>169</v>
      </c>
      <c r="B15" s="191">
        <v>7</v>
      </c>
      <c r="C15" s="286" t="s">
        <v>170</v>
      </c>
      <c r="D15" s="189">
        <v>0</v>
      </c>
      <c r="E15" s="57">
        <v>1</v>
      </c>
      <c r="F15" s="57">
        <v>1</v>
      </c>
      <c r="G15" s="190">
        <v>1</v>
      </c>
      <c r="H15" s="280" t="s">
        <v>171</v>
      </c>
      <c r="I15" s="196">
        <v>0</v>
      </c>
      <c r="J15" s="197">
        <v>1</v>
      </c>
      <c r="K15" s="197">
        <v>0</v>
      </c>
      <c r="L15" s="197">
        <v>0</v>
      </c>
      <c r="M15" s="198">
        <v>1</v>
      </c>
      <c r="N15" s="198">
        <v>1</v>
      </c>
      <c r="O15" s="199">
        <v>1</v>
      </c>
      <c r="P15" s="269" t="s">
        <v>170</v>
      </c>
      <c r="Q15" s="192">
        <v>0</v>
      </c>
      <c r="R15" s="3">
        <v>1</v>
      </c>
      <c r="S15" s="3">
        <v>1</v>
      </c>
      <c r="T15" s="3">
        <v>1</v>
      </c>
      <c r="U15" s="3">
        <v>2</v>
      </c>
      <c r="V15" s="3">
        <v>3</v>
      </c>
      <c r="W15" s="193">
        <v>2</v>
      </c>
      <c r="X15" s="269" t="s">
        <v>170</v>
      </c>
      <c r="Y15" s="192">
        <f t="shared" si="2"/>
        <v>0</v>
      </c>
      <c r="Z15" s="3">
        <f t="shared" si="0"/>
        <v>1</v>
      </c>
      <c r="AA15" s="3">
        <f t="shared" si="0"/>
        <v>1</v>
      </c>
      <c r="AB15" s="3">
        <f t="shared" si="0"/>
        <v>1</v>
      </c>
      <c r="AC15" s="3">
        <f t="shared" si="0"/>
        <v>0</v>
      </c>
      <c r="AD15" s="3">
        <f t="shared" si="0"/>
        <v>1</v>
      </c>
      <c r="AE15" s="193">
        <f t="shared" si="0"/>
        <v>0</v>
      </c>
      <c r="AF15" s="269" t="s">
        <v>170</v>
      </c>
      <c r="AG15" s="194" t="str">
        <f t="shared" si="3"/>
        <v>0111010</v>
      </c>
      <c r="AH15" s="282" t="s">
        <v>172</v>
      </c>
      <c r="AI15" s="117" t="str">
        <f t="shared" si="4"/>
        <v>0111010</v>
      </c>
      <c r="AJ15" s="59" t="str">
        <f t="shared" si="1"/>
        <v>3A</v>
      </c>
    </row>
    <row r="16" spans="1:36" x14ac:dyDescent="0.35">
      <c r="A16" s="281"/>
      <c r="B16" s="191">
        <v>8</v>
      </c>
      <c r="C16" s="286"/>
      <c r="D16" s="189">
        <v>1</v>
      </c>
      <c r="E16" s="57">
        <v>0</v>
      </c>
      <c r="F16" s="57">
        <v>0</v>
      </c>
      <c r="G16" s="190">
        <v>0</v>
      </c>
      <c r="H16" s="280"/>
      <c r="I16" s="196">
        <v>0</v>
      </c>
      <c r="J16" s="197">
        <v>0</v>
      </c>
      <c r="K16" s="197">
        <v>1</v>
      </c>
      <c r="L16" s="197">
        <v>0</v>
      </c>
      <c r="M16" s="198">
        <v>1</v>
      </c>
      <c r="N16" s="198">
        <v>1</v>
      </c>
      <c r="O16" s="199">
        <v>0</v>
      </c>
      <c r="P16" s="269"/>
      <c r="Q16" s="192">
        <v>1</v>
      </c>
      <c r="R16" s="3">
        <v>0</v>
      </c>
      <c r="S16" s="3">
        <v>0</v>
      </c>
      <c r="T16" s="3">
        <v>0</v>
      </c>
      <c r="U16" s="3">
        <v>1</v>
      </c>
      <c r="V16" s="3">
        <v>0</v>
      </c>
      <c r="W16" s="193">
        <v>1</v>
      </c>
      <c r="X16" s="269"/>
      <c r="Y16" s="192">
        <f t="shared" si="2"/>
        <v>1</v>
      </c>
      <c r="Z16" s="3">
        <f t="shared" si="0"/>
        <v>0</v>
      </c>
      <c r="AA16" s="3">
        <f t="shared" si="0"/>
        <v>0</v>
      </c>
      <c r="AB16" s="3">
        <f t="shared" si="0"/>
        <v>0</v>
      </c>
      <c r="AC16" s="3">
        <f t="shared" si="0"/>
        <v>1</v>
      </c>
      <c r="AD16" s="3">
        <f t="shared" si="0"/>
        <v>0</v>
      </c>
      <c r="AE16" s="193">
        <f t="shared" si="0"/>
        <v>1</v>
      </c>
      <c r="AF16" s="269"/>
      <c r="AG16" s="194" t="str">
        <f t="shared" si="3"/>
        <v>1000101</v>
      </c>
      <c r="AH16" s="282"/>
      <c r="AI16" s="117" t="str">
        <f t="shared" si="4"/>
        <v>1000101</v>
      </c>
      <c r="AJ16" s="59" t="str">
        <f t="shared" si="1"/>
        <v>45</v>
      </c>
    </row>
    <row r="17" spans="1:36" x14ac:dyDescent="0.35">
      <c r="B17" s="191">
        <v>9</v>
      </c>
      <c r="D17" s="189">
        <v>1</v>
      </c>
      <c r="E17" s="57">
        <v>0</v>
      </c>
      <c r="F17" s="57">
        <v>0</v>
      </c>
      <c r="G17" s="190">
        <v>1</v>
      </c>
      <c r="I17" s="196">
        <v>0</v>
      </c>
      <c r="J17" s="197">
        <v>0</v>
      </c>
      <c r="K17" s="197">
        <v>0</v>
      </c>
      <c r="L17" s="197">
        <v>1</v>
      </c>
      <c r="M17" s="198">
        <v>0</v>
      </c>
      <c r="N17" s="198">
        <v>1</v>
      </c>
      <c r="O17" s="199">
        <v>1</v>
      </c>
      <c r="Q17" s="192">
        <v>1</v>
      </c>
      <c r="R17" s="3">
        <v>0</v>
      </c>
      <c r="S17" s="3">
        <v>0</v>
      </c>
      <c r="T17" s="3">
        <v>1</v>
      </c>
      <c r="U17" s="3">
        <v>1</v>
      </c>
      <c r="V17" s="3">
        <v>1</v>
      </c>
      <c r="W17" s="193">
        <v>2</v>
      </c>
      <c r="Y17" s="192">
        <f t="shared" si="2"/>
        <v>1</v>
      </c>
      <c r="Z17" s="3">
        <f t="shared" si="0"/>
        <v>0</v>
      </c>
      <c r="AA17" s="3">
        <f t="shared" si="0"/>
        <v>0</v>
      </c>
      <c r="AB17" s="3">
        <f t="shared" si="0"/>
        <v>1</v>
      </c>
      <c r="AC17" s="3">
        <f t="shared" si="0"/>
        <v>1</v>
      </c>
      <c r="AD17" s="3">
        <f t="shared" si="0"/>
        <v>1</v>
      </c>
      <c r="AE17" s="193">
        <f t="shared" si="0"/>
        <v>0</v>
      </c>
      <c r="AG17" s="194" t="str">
        <f t="shared" si="3"/>
        <v>1001110</v>
      </c>
      <c r="AI17" s="117" t="str">
        <f t="shared" si="4"/>
        <v>1001110</v>
      </c>
      <c r="AJ17" s="59" t="str">
        <f t="shared" si="1"/>
        <v>4E</v>
      </c>
    </row>
    <row r="18" spans="1:36" x14ac:dyDescent="0.35">
      <c r="B18" s="191">
        <v>10</v>
      </c>
      <c r="D18" s="189">
        <v>1</v>
      </c>
      <c r="E18" s="57">
        <v>0</v>
      </c>
      <c r="F18" s="57">
        <v>1</v>
      </c>
      <c r="G18" s="190">
        <v>0</v>
      </c>
      <c r="Q18" s="192">
        <v>1</v>
      </c>
      <c r="R18" s="3">
        <v>0</v>
      </c>
      <c r="S18" s="3">
        <v>1</v>
      </c>
      <c r="T18" s="3">
        <v>0</v>
      </c>
      <c r="U18" s="3">
        <v>2</v>
      </c>
      <c r="V18" s="3">
        <v>1</v>
      </c>
      <c r="W18" s="193">
        <v>1</v>
      </c>
      <c r="Y18" s="192">
        <f t="shared" si="2"/>
        <v>1</v>
      </c>
      <c r="Z18" s="3">
        <f t="shared" si="0"/>
        <v>0</v>
      </c>
      <c r="AA18" s="3">
        <f t="shared" si="0"/>
        <v>1</v>
      </c>
      <c r="AB18" s="3">
        <f t="shared" si="0"/>
        <v>0</v>
      </c>
      <c r="AC18" s="3">
        <f t="shared" si="0"/>
        <v>0</v>
      </c>
      <c r="AD18" s="3">
        <f t="shared" si="0"/>
        <v>1</v>
      </c>
      <c r="AE18" s="193">
        <f t="shared" si="0"/>
        <v>1</v>
      </c>
      <c r="AG18" s="194" t="str">
        <f t="shared" si="3"/>
        <v>1010011</v>
      </c>
      <c r="AI18" s="117" t="str">
        <f t="shared" si="4"/>
        <v>1010011</v>
      </c>
      <c r="AJ18" s="59" t="str">
        <f t="shared" si="1"/>
        <v>53</v>
      </c>
    </row>
    <row r="19" spans="1:36" x14ac:dyDescent="0.35">
      <c r="B19" s="191">
        <v>11</v>
      </c>
      <c r="D19" s="189">
        <v>1</v>
      </c>
      <c r="E19" s="57">
        <v>0</v>
      </c>
      <c r="F19" s="57">
        <v>1</v>
      </c>
      <c r="G19" s="190">
        <v>1</v>
      </c>
      <c r="Q19" s="192">
        <v>1</v>
      </c>
      <c r="R19" s="3">
        <v>0</v>
      </c>
      <c r="S19" s="3">
        <v>1</v>
      </c>
      <c r="T19" s="3">
        <v>1</v>
      </c>
      <c r="U19" s="3">
        <v>2</v>
      </c>
      <c r="V19" s="3">
        <v>2</v>
      </c>
      <c r="W19" s="193">
        <v>2</v>
      </c>
      <c r="Y19" s="192">
        <f t="shared" si="2"/>
        <v>1</v>
      </c>
      <c r="Z19" s="3">
        <f t="shared" si="0"/>
        <v>0</v>
      </c>
      <c r="AA19" s="3">
        <f t="shared" si="0"/>
        <v>1</v>
      </c>
      <c r="AB19" s="3">
        <f t="shared" si="0"/>
        <v>1</v>
      </c>
      <c r="AC19" s="3">
        <f t="shared" si="0"/>
        <v>0</v>
      </c>
      <c r="AD19" s="3">
        <f t="shared" si="0"/>
        <v>0</v>
      </c>
      <c r="AE19" s="193">
        <f t="shared" si="0"/>
        <v>0</v>
      </c>
      <c r="AG19" s="194" t="str">
        <f t="shared" si="3"/>
        <v>1011000</v>
      </c>
      <c r="AI19" s="117" t="str">
        <f t="shared" si="4"/>
        <v>1011000</v>
      </c>
      <c r="AJ19" s="59" t="str">
        <f t="shared" si="1"/>
        <v>58</v>
      </c>
    </row>
    <row r="20" spans="1:36" x14ac:dyDescent="0.35">
      <c r="B20" s="191">
        <v>12</v>
      </c>
      <c r="D20" s="189">
        <v>1</v>
      </c>
      <c r="E20" s="57">
        <v>1</v>
      </c>
      <c r="F20" s="57">
        <v>0</v>
      </c>
      <c r="G20" s="190">
        <v>0</v>
      </c>
      <c r="Q20" s="192">
        <v>1</v>
      </c>
      <c r="R20" s="3">
        <v>1</v>
      </c>
      <c r="S20" s="3">
        <v>0</v>
      </c>
      <c r="T20" s="3">
        <v>0</v>
      </c>
      <c r="U20" s="3">
        <v>2</v>
      </c>
      <c r="V20" s="3">
        <v>1</v>
      </c>
      <c r="W20" s="193">
        <v>2</v>
      </c>
      <c r="Y20" s="192">
        <f t="shared" si="2"/>
        <v>1</v>
      </c>
      <c r="Z20" s="3">
        <f t="shared" si="0"/>
        <v>1</v>
      </c>
      <c r="AA20" s="3">
        <f t="shared" si="0"/>
        <v>0</v>
      </c>
      <c r="AB20" s="3">
        <f t="shared" si="0"/>
        <v>0</v>
      </c>
      <c r="AC20" s="3">
        <f t="shared" si="0"/>
        <v>0</v>
      </c>
      <c r="AD20" s="3">
        <f t="shared" si="0"/>
        <v>1</v>
      </c>
      <c r="AE20" s="193">
        <f t="shared" si="0"/>
        <v>0</v>
      </c>
      <c r="AG20" s="194" t="str">
        <f t="shared" si="3"/>
        <v>1100010</v>
      </c>
      <c r="AI20" s="117" t="str">
        <f t="shared" si="4"/>
        <v>1100010</v>
      </c>
      <c r="AJ20" s="59" t="str">
        <f t="shared" si="1"/>
        <v>62</v>
      </c>
    </row>
    <row r="21" spans="1:36" x14ac:dyDescent="0.35">
      <c r="B21" s="191">
        <v>13</v>
      </c>
      <c r="D21" s="189">
        <v>1</v>
      </c>
      <c r="E21" s="57">
        <v>1</v>
      </c>
      <c r="F21" s="57">
        <v>0</v>
      </c>
      <c r="G21" s="190">
        <v>1</v>
      </c>
      <c r="Q21" s="192">
        <v>1</v>
      </c>
      <c r="R21" s="3">
        <v>1</v>
      </c>
      <c r="S21" s="3">
        <v>0</v>
      </c>
      <c r="T21" s="3">
        <v>1</v>
      </c>
      <c r="U21" s="3">
        <v>2</v>
      </c>
      <c r="V21" s="3">
        <v>2</v>
      </c>
      <c r="W21" s="193">
        <v>3</v>
      </c>
      <c r="Y21" s="192">
        <f t="shared" si="2"/>
        <v>1</v>
      </c>
      <c r="Z21" s="3">
        <f t="shared" si="0"/>
        <v>1</v>
      </c>
      <c r="AA21" s="3">
        <f t="shared" si="0"/>
        <v>0</v>
      </c>
      <c r="AB21" s="3">
        <f t="shared" si="0"/>
        <v>1</v>
      </c>
      <c r="AC21" s="3">
        <f t="shared" si="0"/>
        <v>0</v>
      </c>
      <c r="AD21" s="3">
        <f t="shared" si="0"/>
        <v>0</v>
      </c>
      <c r="AE21" s="193">
        <f t="shared" si="0"/>
        <v>1</v>
      </c>
      <c r="AG21" s="194" t="str">
        <f t="shared" si="3"/>
        <v>1101001</v>
      </c>
      <c r="AI21" s="117" t="str">
        <f t="shared" si="4"/>
        <v>1101001</v>
      </c>
      <c r="AJ21" s="59" t="str">
        <f t="shared" si="1"/>
        <v>69</v>
      </c>
    </row>
    <row r="22" spans="1:36" x14ac:dyDescent="0.35">
      <c r="B22" s="191">
        <v>14</v>
      </c>
      <c r="D22" s="189">
        <v>1</v>
      </c>
      <c r="E22" s="57">
        <v>1</v>
      </c>
      <c r="F22" s="57">
        <v>1</v>
      </c>
      <c r="G22" s="190">
        <v>0</v>
      </c>
      <c r="Q22" s="192">
        <v>1</v>
      </c>
      <c r="R22" s="3">
        <v>1</v>
      </c>
      <c r="S22" s="3">
        <v>1</v>
      </c>
      <c r="T22" s="3">
        <v>0</v>
      </c>
      <c r="U22" s="3">
        <v>3</v>
      </c>
      <c r="V22" s="3">
        <v>2</v>
      </c>
      <c r="W22" s="193">
        <v>2</v>
      </c>
      <c r="Y22" s="192">
        <f t="shared" si="2"/>
        <v>1</v>
      </c>
      <c r="Z22" s="3">
        <f t="shared" si="0"/>
        <v>1</v>
      </c>
      <c r="AA22" s="3">
        <f t="shared" si="0"/>
        <v>1</v>
      </c>
      <c r="AB22" s="3">
        <f t="shared" si="0"/>
        <v>0</v>
      </c>
      <c r="AC22" s="3">
        <f t="shared" si="0"/>
        <v>1</v>
      </c>
      <c r="AD22" s="3">
        <f t="shared" si="0"/>
        <v>0</v>
      </c>
      <c r="AE22" s="193">
        <f t="shared" si="0"/>
        <v>0</v>
      </c>
      <c r="AG22" s="194" t="str">
        <f t="shared" si="3"/>
        <v>1110100</v>
      </c>
      <c r="AI22" s="117" t="str">
        <f t="shared" si="4"/>
        <v>1110100</v>
      </c>
      <c r="AJ22" s="59" t="str">
        <f t="shared" si="1"/>
        <v>74</v>
      </c>
    </row>
    <row r="23" spans="1:36" x14ac:dyDescent="0.35">
      <c r="B23" s="191">
        <v>15</v>
      </c>
      <c r="D23" s="189">
        <v>1</v>
      </c>
      <c r="E23" s="57">
        <v>1</v>
      </c>
      <c r="F23" s="57">
        <v>1</v>
      </c>
      <c r="G23" s="190">
        <v>1</v>
      </c>
      <c r="Q23" s="192">
        <v>1</v>
      </c>
      <c r="R23" s="3">
        <v>1</v>
      </c>
      <c r="S23" s="3">
        <v>1</v>
      </c>
      <c r="T23" s="3">
        <v>1</v>
      </c>
      <c r="U23" s="3">
        <v>3</v>
      </c>
      <c r="V23" s="3">
        <v>3</v>
      </c>
      <c r="W23" s="193">
        <v>3</v>
      </c>
      <c r="Y23" s="192">
        <f t="shared" si="2"/>
        <v>1</v>
      </c>
      <c r="Z23" s="3">
        <f t="shared" si="0"/>
        <v>1</v>
      </c>
      <c r="AA23" s="3">
        <f t="shared" si="0"/>
        <v>1</v>
      </c>
      <c r="AB23" s="3">
        <f t="shared" si="0"/>
        <v>1</v>
      </c>
      <c r="AC23" s="3">
        <f t="shared" si="0"/>
        <v>1</v>
      </c>
      <c r="AD23" s="3">
        <f t="shared" si="0"/>
        <v>1</v>
      </c>
      <c r="AE23" s="193">
        <f t="shared" si="0"/>
        <v>1</v>
      </c>
      <c r="AG23" s="194" t="str">
        <f t="shared" si="3"/>
        <v>1111111</v>
      </c>
      <c r="AI23" s="117" t="str">
        <f t="shared" si="4"/>
        <v>1111111</v>
      </c>
      <c r="AJ23" s="59" t="str">
        <f t="shared" si="1"/>
        <v>7F</v>
      </c>
    </row>
    <row r="24" spans="1:36" ht="18.600000000000001" thickBot="1" x14ac:dyDescent="0.4">
      <c r="B24" s="57"/>
      <c r="D24" s="57"/>
      <c r="E24" s="57"/>
      <c r="F24" s="57"/>
      <c r="G24" s="57"/>
    </row>
    <row r="25" spans="1:36" ht="18.600000000000001" thickBot="1" x14ac:dyDescent="0.4">
      <c r="A25" s="283" t="s">
        <v>184</v>
      </c>
      <c r="B25" s="284"/>
      <c r="C25" s="284"/>
      <c r="D25" s="284"/>
      <c r="E25" s="284"/>
      <c r="F25" s="284"/>
      <c r="G25" s="284"/>
      <c r="H25" s="284"/>
      <c r="I25" s="284"/>
      <c r="J25" s="284"/>
      <c r="K25" s="284"/>
      <c r="L25" s="284"/>
      <c r="M25" s="284"/>
      <c r="N25" s="284"/>
      <c r="O25" s="284"/>
      <c r="P25" s="285"/>
      <c r="Q25"/>
    </row>
    <row r="26" spans="1:36" ht="18.600000000000001" thickBot="1" x14ac:dyDescent="0.4">
      <c r="A26" s="136" t="s">
        <v>68</v>
      </c>
      <c r="B26" s="60" t="s">
        <v>69</v>
      </c>
      <c r="C26" s="209">
        <v>1</v>
      </c>
      <c r="D26" s="209">
        <v>2</v>
      </c>
      <c r="E26" s="209">
        <v>3</v>
      </c>
      <c r="F26" s="209">
        <v>4</v>
      </c>
      <c r="G26" s="60" t="s">
        <v>183</v>
      </c>
      <c r="H26" s="209">
        <v>1</v>
      </c>
      <c r="I26" s="209">
        <v>2</v>
      </c>
      <c r="J26" s="209">
        <v>3</v>
      </c>
      <c r="K26" s="209">
        <v>4</v>
      </c>
      <c r="L26" s="209">
        <v>5</v>
      </c>
      <c r="M26" s="209">
        <v>6</v>
      </c>
      <c r="N26" s="209">
        <v>7</v>
      </c>
      <c r="O26" s="60" t="s">
        <v>166</v>
      </c>
      <c r="P26" s="210" t="s">
        <v>183</v>
      </c>
      <c r="Q26"/>
      <c r="R26"/>
      <c r="S26" s="172" t="s">
        <v>87</v>
      </c>
      <c r="T26" s="172" t="s">
        <v>95</v>
      </c>
      <c r="U26" s="172" t="s">
        <v>28</v>
      </c>
      <c r="V26" s="172" t="s">
        <v>97</v>
      </c>
      <c r="W26" s="172" t="s">
        <v>99</v>
      </c>
      <c r="X26" s="172" t="s">
        <v>85</v>
      </c>
      <c r="Y26" s="172" t="s">
        <v>101</v>
      </c>
      <c r="Z26" s="172" t="s">
        <v>83</v>
      </c>
      <c r="AA26" s="172" t="s">
        <v>103</v>
      </c>
      <c r="AB26" s="172" t="s">
        <v>105</v>
      </c>
      <c r="AC26" s="172" t="s">
        <v>107</v>
      </c>
      <c r="AD26" s="172" t="s">
        <v>89</v>
      </c>
      <c r="AE26" s="172" t="s">
        <v>108</v>
      </c>
      <c r="AF26" s="172" t="s">
        <v>39</v>
      </c>
      <c r="AG26" s="172" t="s">
        <v>37</v>
      </c>
      <c r="AH26" s="172" t="s">
        <v>88</v>
      </c>
    </row>
    <row r="27" spans="1:36" x14ac:dyDescent="0.35">
      <c r="A27" s="118">
        <v>0</v>
      </c>
      <c r="B27" s="59" t="str">
        <f>DEC2BIN(A27,4)</f>
        <v>0000</v>
      </c>
      <c r="C27" s="205" t="str">
        <f t="shared" ref="C27:F42" si="5">MID($B27,C$26,1)</f>
        <v>0</v>
      </c>
      <c r="D27" s="205" t="str">
        <f t="shared" si="5"/>
        <v>0</v>
      </c>
      <c r="E27" s="205" t="str">
        <f t="shared" si="5"/>
        <v>0</v>
      </c>
      <c r="F27" s="205" t="str">
        <f t="shared" si="5"/>
        <v>0</v>
      </c>
      <c r="G27" s="59" t="str">
        <f>DEC2HEX(A27)</f>
        <v>0</v>
      </c>
      <c r="H27" s="206" t="str">
        <f t="shared" ref="H27:N36" si="6">MID($O27,H$26,1)</f>
        <v>0</v>
      </c>
      <c r="I27" s="206" t="str">
        <f t="shared" si="6"/>
        <v>0</v>
      </c>
      <c r="J27" s="206" t="str">
        <f t="shared" si="6"/>
        <v>0</v>
      </c>
      <c r="K27" s="206" t="str">
        <f t="shared" si="6"/>
        <v>0</v>
      </c>
      <c r="L27" s="206" t="str">
        <f t="shared" si="6"/>
        <v>0</v>
      </c>
      <c r="M27" s="206" t="str">
        <f t="shared" si="6"/>
        <v>0</v>
      </c>
      <c r="N27" s="206" t="str">
        <f t="shared" si="6"/>
        <v>0</v>
      </c>
      <c r="O27" s="93" t="str">
        <f t="shared" ref="O27:O42" si="7">AG8</f>
        <v>0000000</v>
      </c>
      <c r="P27" s="158" t="str">
        <f>BIN2HEX(O27)</f>
        <v>0</v>
      </c>
      <c r="Q27"/>
      <c r="R27" s="212" t="s">
        <v>87</v>
      </c>
      <c r="S27" s="163">
        <f t="shared" ref="S27:AH36" si="8">MOD(MID($R27,1,1)+MID(S$26,1,1),2)+MOD(MID($R27,2,1)+MID(S$26,2,1),2)+MOD(MID($R27,3,1)+MID(S$26,3,1),2)+MOD(MID($R27,4,1)+MID(S$26,4,1),2)+MOD(MID($R27,5,1)+MID(S$26,5,1),2)+MOD(MID($R27,6,1)+MID(S$26,6,1),2)+MOD(MID($R27,7,1)+MID(S$26,7,1),2)</f>
        <v>0</v>
      </c>
      <c r="T27" s="164">
        <f t="shared" si="8"/>
        <v>3</v>
      </c>
      <c r="U27" s="164">
        <f t="shared" si="8"/>
        <v>3</v>
      </c>
      <c r="V27" s="164">
        <f t="shared" si="8"/>
        <v>4</v>
      </c>
      <c r="W27" s="164">
        <f t="shared" si="8"/>
        <v>4</v>
      </c>
      <c r="X27" s="164">
        <f t="shared" si="8"/>
        <v>3</v>
      </c>
      <c r="Y27" s="164">
        <f t="shared" si="8"/>
        <v>3</v>
      </c>
      <c r="Z27" s="164">
        <f t="shared" si="8"/>
        <v>4</v>
      </c>
      <c r="AA27" s="164">
        <f t="shared" si="8"/>
        <v>3</v>
      </c>
      <c r="AB27" s="164">
        <f t="shared" si="8"/>
        <v>4</v>
      </c>
      <c r="AC27" s="164">
        <f t="shared" si="8"/>
        <v>4</v>
      </c>
      <c r="AD27" s="164">
        <f t="shared" si="8"/>
        <v>3</v>
      </c>
      <c r="AE27" s="164">
        <f t="shared" si="8"/>
        <v>3</v>
      </c>
      <c r="AF27" s="164">
        <f t="shared" si="8"/>
        <v>4</v>
      </c>
      <c r="AG27" s="164">
        <f t="shared" si="8"/>
        <v>4</v>
      </c>
      <c r="AH27" s="165">
        <f t="shared" si="8"/>
        <v>7</v>
      </c>
    </row>
    <row r="28" spans="1:36" x14ac:dyDescent="0.35">
      <c r="A28" s="118">
        <v>1</v>
      </c>
      <c r="B28" s="59" t="str">
        <f t="shared" ref="B28:B42" si="9">DEC2BIN(A28,4)</f>
        <v>0001</v>
      </c>
      <c r="C28" s="205" t="str">
        <f t="shared" si="5"/>
        <v>0</v>
      </c>
      <c r="D28" s="205" t="str">
        <f t="shared" si="5"/>
        <v>0</v>
      </c>
      <c r="E28" s="205" t="str">
        <f t="shared" si="5"/>
        <v>0</v>
      </c>
      <c r="F28" s="205" t="str">
        <f t="shared" si="5"/>
        <v>1</v>
      </c>
      <c r="G28" s="59" t="str">
        <f t="shared" ref="G28:G42" si="10">DEC2HEX(A28)</f>
        <v>1</v>
      </c>
      <c r="H28" s="206" t="str">
        <f t="shared" si="6"/>
        <v>0</v>
      </c>
      <c r="I28" s="206" t="str">
        <f t="shared" si="6"/>
        <v>0</v>
      </c>
      <c r="J28" s="206" t="str">
        <f t="shared" si="6"/>
        <v>0</v>
      </c>
      <c r="K28" s="206" t="str">
        <f t="shared" si="6"/>
        <v>1</v>
      </c>
      <c r="L28" s="206" t="str">
        <f t="shared" si="6"/>
        <v>0</v>
      </c>
      <c r="M28" s="206" t="str">
        <f t="shared" si="6"/>
        <v>1</v>
      </c>
      <c r="N28" s="206" t="str">
        <f t="shared" si="6"/>
        <v>1</v>
      </c>
      <c r="O28" s="93" t="str">
        <f t="shared" si="7"/>
        <v>0001011</v>
      </c>
      <c r="P28" s="158" t="str">
        <f t="shared" ref="P28:P42" si="11">BIN2HEX(O28)</f>
        <v>B</v>
      </c>
      <c r="Q28"/>
      <c r="R28" s="212" t="s">
        <v>95</v>
      </c>
      <c r="S28" s="94">
        <f t="shared" si="8"/>
        <v>3</v>
      </c>
      <c r="T28" s="93">
        <f t="shared" si="8"/>
        <v>0</v>
      </c>
      <c r="U28" s="93">
        <f t="shared" si="8"/>
        <v>4</v>
      </c>
      <c r="V28" s="93">
        <f t="shared" si="8"/>
        <v>3</v>
      </c>
      <c r="W28" s="93">
        <f t="shared" si="8"/>
        <v>3</v>
      </c>
      <c r="X28" s="93">
        <f t="shared" si="8"/>
        <v>4</v>
      </c>
      <c r="Y28" s="93">
        <f t="shared" si="8"/>
        <v>4</v>
      </c>
      <c r="Z28" s="93">
        <f t="shared" si="8"/>
        <v>3</v>
      </c>
      <c r="AA28" s="93">
        <f t="shared" si="8"/>
        <v>4</v>
      </c>
      <c r="AB28" s="93">
        <f t="shared" si="8"/>
        <v>3</v>
      </c>
      <c r="AC28" s="93">
        <f t="shared" si="8"/>
        <v>3</v>
      </c>
      <c r="AD28" s="93">
        <f t="shared" si="8"/>
        <v>4</v>
      </c>
      <c r="AE28" s="93">
        <f t="shared" si="8"/>
        <v>4</v>
      </c>
      <c r="AF28" s="93">
        <f t="shared" si="8"/>
        <v>3</v>
      </c>
      <c r="AG28" s="93">
        <f t="shared" si="8"/>
        <v>7</v>
      </c>
      <c r="AH28" s="158">
        <f t="shared" si="8"/>
        <v>4</v>
      </c>
    </row>
    <row r="29" spans="1:36" x14ac:dyDescent="0.35">
      <c r="A29" s="118">
        <v>2</v>
      </c>
      <c r="B29" s="59" t="str">
        <f t="shared" si="9"/>
        <v>0010</v>
      </c>
      <c r="C29" s="205" t="str">
        <f t="shared" si="5"/>
        <v>0</v>
      </c>
      <c r="D29" s="205" t="str">
        <f t="shared" si="5"/>
        <v>0</v>
      </c>
      <c r="E29" s="205" t="str">
        <f t="shared" si="5"/>
        <v>1</v>
      </c>
      <c r="F29" s="205" t="str">
        <f t="shared" si="5"/>
        <v>0</v>
      </c>
      <c r="G29" s="59" t="str">
        <f t="shared" si="10"/>
        <v>2</v>
      </c>
      <c r="H29" s="206" t="str">
        <f t="shared" si="6"/>
        <v>0</v>
      </c>
      <c r="I29" s="206" t="str">
        <f t="shared" si="6"/>
        <v>0</v>
      </c>
      <c r="J29" s="206" t="str">
        <f t="shared" si="6"/>
        <v>1</v>
      </c>
      <c r="K29" s="206" t="str">
        <f t="shared" si="6"/>
        <v>0</v>
      </c>
      <c r="L29" s="206" t="str">
        <f t="shared" si="6"/>
        <v>1</v>
      </c>
      <c r="M29" s="206" t="str">
        <f t="shared" si="6"/>
        <v>1</v>
      </c>
      <c r="N29" s="206" t="str">
        <f t="shared" si="6"/>
        <v>0</v>
      </c>
      <c r="O29" s="93" t="str">
        <f t="shared" si="7"/>
        <v>0010110</v>
      </c>
      <c r="P29" s="158" t="str">
        <f t="shared" si="11"/>
        <v>16</v>
      </c>
      <c r="Q29"/>
      <c r="R29" s="212" t="s">
        <v>28</v>
      </c>
      <c r="S29" s="94">
        <f t="shared" si="8"/>
        <v>3</v>
      </c>
      <c r="T29" s="93">
        <f t="shared" si="8"/>
        <v>4</v>
      </c>
      <c r="U29" s="93">
        <f t="shared" si="8"/>
        <v>0</v>
      </c>
      <c r="V29" s="93">
        <f t="shared" si="8"/>
        <v>3</v>
      </c>
      <c r="W29" s="93">
        <f t="shared" si="8"/>
        <v>3</v>
      </c>
      <c r="X29" s="93">
        <f t="shared" si="8"/>
        <v>4</v>
      </c>
      <c r="Y29" s="93">
        <f t="shared" si="8"/>
        <v>4</v>
      </c>
      <c r="Z29" s="93">
        <f t="shared" si="8"/>
        <v>3</v>
      </c>
      <c r="AA29" s="93">
        <f t="shared" si="8"/>
        <v>4</v>
      </c>
      <c r="AB29" s="93">
        <f t="shared" si="8"/>
        <v>3</v>
      </c>
      <c r="AC29" s="93">
        <f t="shared" si="8"/>
        <v>3</v>
      </c>
      <c r="AD29" s="93">
        <f t="shared" si="8"/>
        <v>4</v>
      </c>
      <c r="AE29" s="93">
        <f t="shared" si="8"/>
        <v>4</v>
      </c>
      <c r="AF29" s="93">
        <f t="shared" si="8"/>
        <v>7</v>
      </c>
      <c r="AG29" s="93">
        <f t="shared" si="8"/>
        <v>3</v>
      </c>
      <c r="AH29" s="158">
        <f t="shared" si="8"/>
        <v>4</v>
      </c>
    </row>
    <row r="30" spans="1:36" x14ac:dyDescent="0.35">
      <c r="A30" s="118">
        <v>3</v>
      </c>
      <c r="B30" s="59" t="str">
        <f t="shared" si="9"/>
        <v>0011</v>
      </c>
      <c r="C30" s="205" t="str">
        <f t="shared" si="5"/>
        <v>0</v>
      </c>
      <c r="D30" s="205" t="str">
        <f t="shared" si="5"/>
        <v>0</v>
      </c>
      <c r="E30" s="205" t="str">
        <f t="shared" si="5"/>
        <v>1</v>
      </c>
      <c r="F30" s="205" t="str">
        <f t="shared" si="5"/>
        <v>1</v>
      </c>
      <c r="G30" s="59" t="str">
        <f t="shared" si="10"/>
        <v>3</v>
      </c>
      <c r="H30" s="206" t="str">
        <f t="shared" si="6"/>
        <v>0</v>
      </c>
      <c r="I30" s="206" t="str">
        <f t="shared" si="6"/>
        <v>0</v>
      </c>
      <c r="J30" s="206" t="str">
        <f t="shared" si="6"/>
        <v>1</v>
      </c>
      <c r="K30" s="206" t="str">
        <f t="shared" si="6"/>
        <v>1</v>
      </c>
      <c r="L30" s="206" t="str">
        <f t="shared" si="6"/>
        <v>1</v>
      </c>
      <c r="M30" s="206" t="str">
        <f t="shared" si="6"/>
        <v>0</v>
      </c>
      <c r="N30" s="206" t="str">
        <f t="shared" si="6"/>
        <v>1</v>
      </c>
      <c r="O30" s="93" t="str">
        <f t="shared" si="7"/>
        <v>0011101</v>
      </c>
      <c r="P30" s="158" t="str">
        <f t="shared" si="11"/>
        <v>1D</v>
      </c>
      <c r="Q30"/>
      <c r="R30" s="212" t="s">
        <v>97</v>
      </c>
      <c r="S30" s="94">
        <f t="shared" si="8"/>
        <v>4</v>
      </c>
      <c r="T30" s="93">
        <f t="shared" si="8"/>
        <v>3</v>
      </c>
      <c r="U30" s="93">
        <f t="shared" si="8"/>
        <v>3</v>
      </c>
      <c r="V30" s="93">
        <f t="shared" si="8"/>
        <v>0</v>
      </c>
      <c r="W30" s="93">
        <f t="shared" si="8"/>
        <v>4</v>
      </c>
      <c r="X30" s="93">
        <f t="shared" si="8"/>
        <v>3</v>
      </c>
      <c r="Y30" s="93">
        <f t="shared" si="8"/>
        <v>3</v>
      </c>
      <c r="Z30" s="93">
        <f t="shared" si="8"/>
        <v>4</v>
      </c>
      <c r="AA30" s="93">
        <f t="shared" si="8"/>
        <v>3</v>
      </c>
      <c r="AB30" s="93">
        <f t="shared" si="8"/>
        <v>4</v>
      </c>
      <c r="AC30" s="93">
        <f t="shared" si="8"/>
        <v>4</v>
      </c>
      <c r="AD30" s="93">
        <f t="shared" si="8"/>
        <v>3</v>
      </c>
      <c r="AE30" s="93">
        <f t="shared" si="8"/>
        <v>7</v>
      </c>
      <c r="AF30" s="93">
        <f t="shared" si="8"/>
        <v>4</v>
      </c>
      <c r="AG30" s="93">
        <f t="shared" si="8"/>
        <v>4</v>
      </c>
      <c r="AH30" s="158">
        <f t="shared" si="8"/>
        <v>3</v>
      </c>
    </row>
    <row r="31" spans="1:36" x14ac:dyDescent="0.35">
      <c r="A31" s="118">
        <v>4</v>
      </c>
      <c r="B31" s="59" t="str">
        <f t="shared" si="9"/>
        <v>0100</v>
      </c>
      <c r="C31" s="205" t="str">
        <f t="shared" si="5"/>
        <v>0</v>
      </c>
      <c r="D31" s="205" t="str">
        <f t="shared" si="5"/>
        <v>1</v>
      </c>
      <c r="E31" s="205" t="str">
        <f t="shared" si="5"/>
        <v>0</v>
      </c>
      <c r="F31" s="205" t="str">
        <f t="shared" si="5"/>
        <v>0</v>
      </c>
      <c r="G31" s="59" t="str">
        <f t="shared" si="10"/>
        <v>4</v>
      </c>
      <c r="H31" s="206" t="str">
        <f t="shared" si="6"/>
        <v>0</v>
      </c>
      <c r="I31" s="206" t="str">
        <f t="shared" si="6"/>
        <v>1</v>
      </c>
      <c r="J31" s="206" t="str">
        <f t="shared" si="6"/>
        <v>0</v>
      </c>
      <c r="K31" s="206" t="str">
        <f t="shared" si="6"/>
        <v>0</v>
      </c>
      <c r="L31" s="206" t="str">
        <f t="shared" si="6"/>
        <v>1</v>
      </c>
      <c r="M31" s="206" t="str">
        <f t="shared" si="6"/>
        <v>1</v>
      </c>
      <c r="N31" s="206" t="str">
        <f t="shared" si="6"/>
        <v>1</v>
      </c>
      <c r="O31" s="93" t="str">
        <f t="shared" si="7"/>
        <v>0100111</v>
      </c>
      <c r="P31" s="158" t="str">
        <f t="shared" si="11"/>
        <v>27</v>
      </c>
      <c r="Q31"/>
      <c r="R31" s="212" t="s">
        <v>99</v>
      </c>
      <c r="S31" s="94">
        <f t="shared" si="8"/>
        <v>4</v>
      </c>
      <c r="T31" s="93">
        <f t="shared" si="8"/>
        <v>3</v>
      </c>
      <c r="U31" s="93">
        <f t="shared" si="8"/>
        <v>3</v>
      </c>
      <c r="V31" s="93">
        <f t="shared" si="8"/>
        <v>4</v>
      </c>
      <c r="W31" s="93">
        <f t="shared" si="8"/>
        <v>0</v>
      </c>
      <c r="X31" s="93">
        <f t="shared" si="8"/>
        <v>3</v>
      </c>
      <c r="Y31" s="93">
        <f t="shared" si="8"/>
        <v>3</v>
      </c>
      <c r="Z31" s="93">
        <f t="shared" si="8"/>
        <v>4</v>
      </c>
      <c r="AA31" s="93">
        <f t="shared" si="8"/>
        <v>3</v>
      </c>
      <c r="AB31" s="93">
        <f t="shared" si="8"/>
        <v>4</v>
      </c>
      <c r="AC31" s="93">
        <f t="shared" si="8"/>
        <v>4</v>
      </c>
      <c r="AD31" s="93">
        <f t="shared" si="8"/>
        <v>7</v>
      </c>
      <c r="AE31" s="93">
        <f t="shared" si="8"/>
        <v>3</v>
      </c>
      <c r="AF31" s="93">
        <f t="shared" si="8"/>
        <v>4</v>
      </c>
      <c r="AG31" s="93">
        <f t="shared" si="8"/>
        <v>4</v>
      </c>
      <c r="AH31" s="158">
        <f t="shared" si="8"/>
        <v>3</v>
      </c>
    </row>
    <row r="32" spans="1:36" x14ac:dyDescent="0.35">
      <c r="A32" s="118">
        <v>5</v>
      </c>
      <c r="B32" s="59" t="str">
        <f t="shared" si="9"/>
        <v>0101</v>
      </c>
      <c r="C32" s="205" t="str">
        <f t="shared" si="5"/>
        <v>0</v>
      </c>
      <c r="D32" s="205" t="str">
        <f t="shared" si="5"/>
        <v>1</v>
      </c>
      <c r="E32" s="205" t="str">
        <f t="shared" si="5"/>
        <v>0</v>
      </c>
      <c r="F32" s="205" t="str">
        <f t="shared" si="5"/>
        <v>1</v>
      </c>
      <c r="G32" s="59" t="str">
        <f t="shared" si="10"/>
        <v>5</v>
      </c>
      <c r="H32" s="206" t="str">
        <f t="shared" si="6"/>
        <v>0</v>
      </c>
      <c r="I32" s="206" t="str">
        <f t="shared" si="6"/>
        <v>1</v>
      </c>
      <c r="J32" s="206" t="str">
        <f t="shared" si="6"/>
        <v>0</v>
      </c>
      <c r="K32" s="206" t="str">
        <f t="shared" si="6"/>
        <v>1</v>
      </c>
      <c r="L32" s="206" t="str">
        <f t="shared" si="6"/>
        <v>1</v>
      </c>
      <c r="M32" s="206" t="str">
        <f t="shared" si="6"/>
        <v>0</v>
      </c>
      <c r="N32" s="206" t="str">
        <f t="shared" si="6"/>
        <v>0</v>
      </c>
      <c r="O32" s="93" t="str">
        <f t="shared" si="7"/>
        <v>0101100</v>
      </c>
      <c r="P32" s="158" t="str">
        <f t="shared" si="11"/>
        <v>2C</v>
      </c>
      <c r="Q32"/>
      <c r="R32" s="212" t="s">
        <v>85</v>
      </c>
      <c r="S32" s="94">
        <f t="shared" si="8"/>
        <v>3</v>
      </c>
      <c r="T32" s="93">
        <f t="shared" si="8"/>
        <v>4</v>
      </c>
      <c r="U32" s="93">
        <f t="shared" si="8"/>
        <v>4</v>
      </c>
      <c r="V32" s="93">
        <f t="shared" si="8"/>
        <v>3</v>
      </c>
      <c r="W32" s="93">
        <f t="shared" si="8"/>
        <v>3</v>
      </c>
      <c r="X32" s="93">
        <f t="shared" si="8"/>
        <v>0</v>
      </c>
      <c r="Y32" s="93">
        <f t="shared" si="8"/>
        <v>4</v>
      </c>
      <c r="Z32" s="93">
        <f t="shared" si="8"/>
        <v>3</v>
      </c>
      <c r="AA32" s="93">
        <f t="shared" si="8"/>
        <v>4</v>
      </c>
      <c r="AB32" s="93">
        <f t="shared" si="8"/>
        <v>3</v>
      </c>
      <c r="AC32" s="93">
        <f t="shared" si="8"/>
        <v>7</v>
      </c>
      <c r="AD32" s="93">
        <f t="shared" si="8"/>
        <v>4</v>
      </c>
      <c r="AE32" s="93">
        <f t="shared" si="8"/>
        <v>4</v>
      </c>
      <c r="AF32" s="93">
        <f t="shared" si="8"/>
        <v>3</v>
      </c>
      <c r="AG32" s="93">
        <f t="shared" si="8"/>
        <v>3</v>
      </c>
      <c r="AH32" s="158">
        <f t="shared" si="8"/>
        <v>4</v>
      </c>
    </row>
    <row r="33" spans="1:34" x14ac:dyDescent="0.35">
      <c r="A33" s="118">
        <v>6</v>
      </c>
      <c r="B33" s="59" t="str">
        <f t="shared" si="9"/>
        <v>0110</v>
      </c>
      <c r="C33" s="205" t="str">
        <f t="shared" si="5"/>
        <v>0</v>
      </c>
      <c r="D33" s="205" t="str">
        <f t="shared" si="5"/>
        <v>1</v>
      </c>
      <c r="E33" s="205" t="str">
        <f t="shared" si="5"/>
        <v>1</v>
      </c>
      <c r="F33" s="205" t="str">
        <f t="shared" si="5"/>
        <v>0</v>
      </c>
      <c r="G33" s="59" t="str">
        <f t="shared" si="10"/>
        <v>6</v>
      </c>
      <c r="H33" s="206" t="str">
        <f t="shared" si="6"/>
        <v>0</v>
      </c>
      <c r="I33" s="206" t="str">
        <f t="shared" si="6"/>
        <v>1</v>
      </c>
      <c r="J33" s="206" t="str">
        <f t="shared" si="6"/>
        <v>1</v>
      </c>
      <c r="K33" s="206" t="str">
        <f t="shared" si="6"/>
        <v>0</v>
      </c>
      <c r="L33" s="206" t="str">
        <f t="shared" si="6"/>
        <v>0</v>
      </c>
      <c r="M33" s="206" t="str">
        <f t="shared" si="6"/>
        <v>0</v>
      </c>
      <c r="N33" s="206" t="str">
        <f t="shared" si="6"/>
        <v>1</v>
      </c>
      <c r="O33" s="93" t="str">
        <f t="shared" si="7"/>
        <v>0110001</v>
      </c>
      <c r="P33" s="158" t="str">
        <f t="shared" si="11"/>
        <v>31</v>
      </c>
      <c r="Q33"/>
      <c r="R33" s="212" t="s">
        <v>101</v>
      </c>
      <c r="S33" s="94">
        <f t="shared" si="8"/>
        <v>3</v>
      </c>
      <c r="T33" s="93">
        <f t="shared" si="8"/>
        <v>4</v>
      </c>
      <c r="U33" s="93">
        <f t="shared" si="8"/>
        <v>4</v>
      </c>
      <c r="V33" s="93">
        <f t="shared" si="8"/>
        <v>3</v>
      </c>
      <c r="W33" s="93">
        <f t="shared" si="8"/>
        <v>3</v>
      </c>
      <c r="X33" s="93">
        <f t="shared" si="8"/>
        <v>4</v>
      </c>
      <c r="Y33" s="93">
        <f t="shared" si="8"/>
        <v>0</v>
      </c>
      <c r="Z33" s="93">
        <f t="shared" si="8"/>
        <v>3</v>
      </c>
      <c r="AA33" s="93">
        <f t="shared" si="8"/>
        <v>4</v>
      </c>
      <c r="AB33" s="93">
        <f t="shared" si="8"/>
        <v>7</v>
      </c>
      <c r="AC33" s="93">
        <f t="shared" si="8"/>
        <v>3</v>
      </c>
      <c r="AD33" s="93">
        <f t="shared" si="8"/>
        <v>4</v>
      </c>
      <c r="AE33" s="93">
        <f t="shared" si="8"/>
        <v>4</v>
      </c>
      <c r="AF33" s="93">
        <f t="shared" si="8"/>
        <v>3</v>
      </c>
      <c r="AG33" s="93">
        <f t="shared" si="8"/>
        <v>3</v>
      </c>
      <c r="AH33" s="158">
        <f t="shared" si="8"/>
        <v>4</v>
      </c>
    </row>
    <row r="34" spans="1:34" x14ac:dyDescent="0.35">
      <c r="A34" s="118">
        <v>7</v>
      </c>
      <c r="B34" s="59" t="str">
        <f t="shared" si="9"/>
        <v>0111</v>
      </c>
      <c r="C34" s="205" t="str">
        <f t="shared" si="5"/>
        <v>0</v>
      </c>
      <c r="D34" s="205" t="str">
        <f t="shared" si="5"/>
        <v>1</v>
      </c>
      <c r="E34" s="205" t="str">
        <f t="shared" si="5"/>
        <v>1</v>
      </c>
      <c r="F34" s="205" t="str">
        <f t="shared" si="5"/>
        <v>1</v>
      </c>
      <c r="G34" s="59" t="str">
        <f t="shared" si="10"/>
        <v>7</v>
      </c>
      <c r="H34" s="206" t="str">
        <f t="shared" si="6"/>
        <v>0</v>
      </c>
      <c r="I34" s="206" t="str">
        <f t="shared" si="6"/>
        <v>1</v>
      </c>
      <c r="J34" s="206" t="str">
        <f t="shared" si="6"/>
        <v>1</v>
      </c>
      <c r="K34" s="206" t="str">
        <f t="shared" si="6"/>
        <v>1</v>
      </c>
      <c r="L34" s="206" t="str">
        <f t="shared" si="6"/>
        <v>0</v>
      </c>
      <c r="M34" s="206" t="str">
        <f t="shared" si="6"/>
        <v>1</v>
      </c>
      <c r="N34" s="206" t="str">
        <f t="shared" si="6"/>
        <v>0</v>
      </c>
      <c r="O34" s="93" t="str">
        <f t="shared" si="7"/>
        <v>0111010</v>
      </c>
      <c r="P34" s="158" t="str">
        <f t="shared" si="11"/>
        <v>3A</v>
      </c>
      <c r="Q34"/>
      <c r="R34" s="212" t="s">
        <v>83</v>
      </c>
      <c r="S34" s="94">
        <f t="shared" si="8"/>
        <v>4</v>
      </c>
      <c r="T34" s="93">
        <f t="shared" si="8"/>
        <v>3</v>
      </c>
      <c r="U34" s="93">
        <f t="shared" si="8"/>
        <v>3</v>
      </c>
      <c r="V34" s="93">
        <f t="shared" si="8"/>
        <v>4</v>
      </c>
      <c r="W34" s="93">
        <f t="shared" si="8"/>
        <v>4</v>
      </c>
      <c r="X34" s="93">
        <f t="shared" si="8"/>
        <v>3</v>
      </c>
      <c r="Y34" s="93">
        <f t="shared" si="8"/>
        <v>3</v>
      </c>
      <c r="Z34" s="93">
        <f t="shared" si="8"/>
        <v>0</v>
      </c>
      <c r="AA34" s="93">
        <f t="shared" si="8"/>
        <v>7</v>
      </c>
      <c r="AB34" s="93">
        <f t="shared" si="8"/>
        <v>4</v>
      </c>
      <c r="AC34" s="93">
        <f t="shared" si="8"/>
        <v>4</v>
      </c>
      <c r="AD34" s="93">
        <f t="shared" si="8"/>
        <v>3</v>
      </c>
      <c r="AE34" s="93">
        <f t="shared" si="8"/>
        <v>3</v>
      </c>
      <c r="AF34" s="93">
        <f t="shared" si="8"/>
        <v>4</v>
      </c>
      <c r="AG34" s="93">
        <f t="shared" si="8"/>
        <v>4</v>
      </c>
      <c r="AH34" s="158">
        <f t="shared" si="8"/>
        <v>3</v>
      </c>
    </row>
    <row r="35" spans="1:34" x14ac:dyDescent="0.35">
      <c r="A35" s="118">
        <v>8</v>
      </c>
      <c r="B35" s="59" t="str">
        <f t="shared" si="9"/>
        <v>1000</v>
      </c>
      <c r="C35" s="205" t="str">
        <f t="shared" si="5"/>
        <v>1</v>
      </c>
      <c r="D35" s="205" t="str">
        <f t="shared" si="5"/>
        <v>0</v>
      </c>
      <c r="E35" s="205" t="str">
        <f t="shared" si="5"/>
        <v>0</v>
      </c>
      <c r="F35" s="205" t="str">
        <f t="shared" si="5"/>
        <v>0</v>
      </c>
      <c r="G35" s="59" t="str">
        <f t="shared" si="10"/>
        <v>8</v>
      </c>
      <c r="H35" s="206" t="str">
        <f t="shared" si="6"/>
        <v>1</v>
      </c>
      <c r="I35" s="206" t="str">
        <f t="shared" si="6"/>
        <v>0</v>
      </c>
      <c r="J35" s="206" t="str">
        <f t="shared" si="6"/>
        <v>0</v>
      </c>
      <c r="K35" s="206" t="str">
        <f t="shared" si="6"/>
        <v>0</v>
      </c>
      <c r="L35" s="206" t="str">
        <f t="shared" si="6"/>
        <v>1</v>
      </c>
      <c r="M35" s="206" t="str">
        <f t="shared" si="6"/>
        <v>0</v>
      </c>
      <c r="N35" s="206" t="str">
        <f t="shared" si="6"/>
        <v>1</v>
      </c>
      <c r="O35" s="93" t="str">
        <f t="shared" si="7"/>
        <v>1000101</v>
      </c>
      <c r="P35" s="158" t="str">
        <f t="shared" si="11"/>
        <v>45</v>
      </c>
      <c r="Q35"/>
      <c r="R35" s="212" t="s">
        <v>103</v>
      </c>
      <c r="S35" s="94">
        <f t="shared" si="8"/>
        <v>3</v>
      </c>
      <c r="T35" s="93">
        <f t="shared" si="8"/>
        <v>4</v>
      </c>
      <c r="U35" s="93">
        <f t="shared" si="8"/>
        <v>4</v>
      </c>
      <c r="V35" s="93">
        <f t="shared" si="8"/>
        <v>3</v>
      </c>
      <c r="W35" s="93">
        <f t="shared" si="8"/>
        <v>3</v>
      </c>
      <c r="X35" s="93">
        <f t="shared" si="8"/>
        <v>4</v>
      </c>
      <c r="Y35" s="93">
        <f t="shared" si="8"/>
        <v>4</v>
      </c>
      <c r="Z35" s="93">
        <f t="shared" si="8"/>
        <v>7</v>
      </c>
      <c r="AA35" s="93">
        <f t="shared" si="8"/>
        <v>0</v>
      </c>
      <c r="AB35" s="93">
        <f t="shared" si="8"/>
        <v>3</v>
      </c>
      <c r="AC35" s="93">
        <f t="shared" si="8"/>
        <v>3</v>
      </c>
      <c r="AD35" s="93">
        <f t="shared" si="8"/>
        <v>4</v>
      </c>
      <c r="AE35" s="93">
        <f t="shared" si="8"/>
        <v>4</v>
      </c>
      <c r="AF35" s="93">
        <f t="shared" si="8"/>
        <v>3</v>
      </c>
      <c r="AG35" s="93">
        <f t="shared" si="8"/>
        <v>3</v>
      </c>
      <c r="AH35" s="158">
        <f t="shared" si="8"/>
        <v>4</v>
      </c>
    </row>
    <row r="36" spans="1:34" x14ac:dyDescent="0.35">
      <c r="A36" s="118">
        <v>9</v>
      </c>
      <c r="B36" s="59" t="str">
        <f t="shared" si="9"/>
        <v>1001</v>
      </c>
      <c r="C36" s="205" t="str">
        <f t="shared" si="5"/>
        <v>1</v>
      </c>
      <c r="D36" s="205" t="str">
        <f t="shared" si="5"/>
        <v>0</v>
      </c>
      <c r="E36" s="205" t="str">
        <f t="shared" si="5"/>
        <v>0</v>
      </c>
      <c r="F36" s="205" t="str">
        <f t="shared" si="5"/>
        <v>1</v>
      </c>
      <c r="G36" s="59" t="str">
        <f t="shared" si="10"/>
        <v>9</v>
      </c>
      <c r="H36" s="206" t="str">
        <f t="shared" si="6"/>
        <v>1</v>
      </c>
      <c r="I36" s="206" t="str">
        <f t="shared" si="6"/>
        <v>0</v>
      </c>
      <c r="J36" s="206" t="str">
        <f t="shared" si="6"/>
        <v>0</v>
      </c>
      <c r="K36" s="206" t="str">
        <f t="shared" si="6"/>
        <v>1</v>
      </c>
      <c r="L36" s="206" t="str">
        <f t="shared" si="6"/>
        <v>1</v>
      </c>
      <c r="M36" s="206" t="str">
        <f t="shared" si="6"/>
        <v>1</v>
      </c>
      <c r="N36" s="206" t="str">
        <f t="shared" si="6"/>
        <v>0</v>
      </c>
      <c r="O36" s="93" t="str">
        <f t="shared" si="7"/>
        <v>1001110</v>
      </c>
      <c r="P36" s="158" t="str">
        <f t="shared" si="11"/>
        <v>4E</v>
      </c>
      <c r="Q36"/>
      <c r="R36" s="212" t="s">
        <v>105</v>
      </c>
      <c r="S36" s="94">
        <f t="shared" si="8"/>
        <v>4</v>
      </c>
      <c r="T36" s="93">
        <f t="shared" si="8"/>
        <v>3</v>
      </c>
      <c r="U36" s="93">
        <f t="shared" si="8"/>
        <v>3</v>
      </c>
      <c r="V36" s="93">
        <f t="shared" si="8"/>
        <v>4</v>
      </c>
      <c r="W36" s="93">
        <f t="shared" si="8"/>
        <v>4</v>
      </c>
      <c r="X36" s="93">
        <f t="shared" si="8"/>
        <v>3</v>
      </c>
      <c r="Y36" s="93">
        <f t="shared" si="8"/>
        <v>7</v>
      </c>
      <c r="Z36" s="93">
        <f t="shared" si="8"/>
        <v>4</v>
      </c>
      <c r="AA36" s="93">
        <f t="shared" si="8"/>
        <v>3</v>
      </c>
      <c r="AB36" s="93">
        <f t="shared" si="8"/>
        <v>0</v>
      </c>
      <c r="AC36" s="93">
        <f t="shared" si="8"/>
        <v>4</v>
      </c>
      <c r="AD36" s="93">
        <f t="shared" si="8"/>
        <v>3</v>
      </c>
      <c r="AE36" s="93">
        <f t="shared" si="8"/>
        <v>3</v>
      </c>
      <c r="AF36" s="93">
        <f t="shared" si="8"/>
        <v>4</v>
      </c>
      <c r="AG36" s="93">
        <f t="shared" si="8"/>
        <v>4</v>
      </c>
      <c r="AH36" s="158">
        <f t="shared" si="8"/>
        <v>3</v>
      </c>
    </row>
    <row r="37" spans="1:34" x14ac:dyDescent="0.35">
      <c r="A37" s="118">
        <v>10</v>
      </c>
      <c r="B37" s="59" t="str">
        <f t="shared" si="9"/>
        <v>1010</v>
      </c>
      <c r="C37" s="205" t="str">
        <f t="shared" si="5"/>
        <v>1</v>
      </c>
      <c r="D37" s="205" t="str">
        <f t="shared" si="5"/>
        <v>0</v>
      </c>
      <c r="E37" s="205" t="str">
        <f t="shared" si="5"/>
        <v>1</v>
      </c>
      <c r="F37" s="205" t="str">
        <f t="shared" si="5"/>
        <v>0</v>
      </c>
      <c r="G37" s="59" t="str">
        <f t="shared" si="10"/>
        <v>A</v>
      </c>
      <c r="H37" s="206" t="str">
        <f t="shared" ref="H37:N42" si="12">MID($O37,H$26,1)</f>
        <v>1</v>
      </c>
      <c r="I37" s="206" t="str">
        <f t="shared" si="12"/>
        <v>0</v>
      </c>
      <c r="J37" s="206" t="str">
        <f t="shared" si="12"/>
        <v>1</v>
      </c>
      <c r="K37" s="206" t="str">
        <f t="shared" si="12"/>
        <v>0</v>
      </c>
      <c r="L37" s="206" t="str">
        <f t="shared" si="12"/>
        <v>0</v>
      </c>
      <c r="M37" s="206" t="str">
        <f t="shared" si="12"/>
        <v>1</v>
      </c>
      <c r="N37" s="206" t="str">
        <f t="shared" si="12"/>
        <v>1</v>
      </c>
      <c r="O37" s="93" t="str">
        <f t="shared" si="7"/>
        <v>1010011</v>
      </c>
      <c r="P37" s="158" t="str">
        <f t="shared" si="11"/>
        <v>53</v>
      </c>
      <c r="Q37"/>
      <c r="R37" s="212" t="s">
        <v>107</v>
      </c>
      <c r="S37" s="94">
        <f t="shared" ref="S37:AH42" si="13">MOD(MID($R37,1,1)+MID(S$26,1,1),2)+MOD(MID($R37,2,1)+MID(S$26,2,1),2)+MOD(MID($R37,3,1)+MID(S$26,3,1),2)+MOD(MID($R37,4,1)+MID(S$26,4,1),2)+MOD(MID($R37,5,1)+MID(S$26,5,1),2)+MOD(MID($R37,6,1)+MID(S$26,6,1),2)+MOD(MID($R37,7,1)+MID(S$26,7,1),2)</f>
        <v>4</v>
      </c>
      <c r="T37" s="93">
        <f t="shared" si="13"/>
        <v>3</v>
      </c>
      <c r="U37" s="93">
        <f t="shared" si="13"/>
        <v>3</v>
      </c>
      <c r="V37" s="93">
        <f t="shared" si="13"/>
        <v>4</v>
      </c>
      <c r="W37" s="93">
        <f t="shared" si="13"/>
        <v>4</v>
      </c>
      <c r="X37" s="93">
        <f t="shared" si="13"/>
        <v>7</v>
      </c>
      <c r="Y37" s="93">
        <f t="shared" si="13"/>
        <v>3</v>
      </c>
      <c r="Z37" s="93">
        <f t="shared" si="13"/>
        <v>4</v>
      </c>
      <c r="AA37" s="93">
        <f t="shared" si="13"/>
        <v>3</v>
      </c>
      <c r="AB37" s="93">
        <f t="shared" si="13"/>
        <v>4</v>
      </c>
      <c r="AC37" s="93">
        <f t="shared" si="13"/>
        <v>0</v>
      </c>
      <c r="AD37" s="93">
        <f t="shared" si="13"/>
        <v>3</v>
      </c>
      <c r="AE37" s="93">
        <f t="shared" si="13"/>
        <v>3</v>
      </c>
      <c r="AF37" s="93">
        <f t="shared" si="13"/>
        <v>4</v>
      </c>
      <c r="AG37" s="93">
        <f t="shared" si="13"/>
        <v>4</v>
      </c>
      <c r="AH37" s="158">
        <f t="shared" si="13"/>
        <v>3</v>
      </c>
    </row>
    <row r="38" spans="1:34" x14ac:dyDescent="0.35">
      <c r="A38" s="118">
        <v>11</v>
      </c>
      <c r="B38" s="59" t="str">
        <f t="shared" si="9"/>
        <v>1011</v>
      </c>
      <c r="C38" s="205" t="str">
        <f t="shared" si="5"/>
        <v>1</v>
      </c>
      <c r="D38" s="205" t="str">
        <f t="shared" si="5"/>
        <v>0</v>
      </c>
      <c r="E38" s="205" t="str">
        <f t="shared" si="5"/>
        <v>1</v>
      </c>
      <c r="F38" s="205" t="str">
        <f t="shared" si="5"/>
        <v>1</v>
      </c>
      <c r="G38" s="59" t="str">
        <f t="shared" si="10"/>
        <v>B</v>
      </c>
      <c r="H38" s="206" t="str">
        <f t="shared" si="12"/>
        <v>1</v>
      </c>
      <c r="I38" s="206" t="str">
        <f t="shared" si="12"/>
        <v>0</v>
      </c>
      <c r="J38" s="206" t="str">
        <f t="shared" si="12"/>
        <v>1</v>
      </c>
      <c r="K38" s="206" t="str">
        <f t="shared" si="12"/>
        <v>1</v>
      </c>
      <c r="L38" s="206" t="str">
        <f t="shared" si="12"/>
        <v>0</v>
      </c>
      <c r="M38" s="206" t="str">
        <f t="shared" si="12"/>
        <v>0</v>
      </c>
      <c r="N38" s="206" t="str">
        <f t="shared" si="12"/>
        <v>0</v>
      </c>
      <c r="O38" s="93" t="str">
        <f t="shared" si="7"/>
        <v>1011000</v>
      </c>
      <c r="P38" s="158" t="str">
        <f t="shared" si="11"/>
        <v>58</v>
      </c>
      <c r="Q38"/>
      <c r="R38" s="212" t="s">
        <v>89</v>
      </c>
      <c r="S38" s="94">
        <f t="shared" si="13"/>
        <v>3</v>
      </c>
      <c r="T38" s="93">
        <f t="shared" si="13"/>
        <v>4</v>
      </c>
      <c r="U38" s="93">
        <f t="shared" si="13"/>
        <v>4</v>
      </c>
      <c r="V38" s="93">
        <f t="shared" si="13"/>
        <v>3</v>
      </c>
      <c r="W38" s="93">
        <f t="shared" si="13"/>
        <v>7</v>
      </c>
      <c r="X38" s="93">
        <f t="shared" si="13"/>
        <v>4</v>
      </c>
      <c r="Y38" s="93">
        <f t="shared" si="13"/>
        <v>4</v>
      </c>
      <c r="Z38" s="93">
        <f t="shared" si="13"/>
        <v>3</v>
      </c>
      <c r="AA38" s="93">
        <f t="shared" si="13"/>
        <v>4</v>
      </c>
      <c r="AB38" s="93">
        <f t="shared" si="13"/>
        <v>3</v>
      </c>
      <c r="AC38" s="93">
        <f t="shared" si="13"/>
        <v>3</v>
      </c>
      <c r="AD38" s="93">
        <f t="shared" si="13"/>
        <v>0</v>
      </c>
      <c r="AE38" s="93">
        <f t="shared" si="13"/>
        <v>4</v>
      </c>
      <c r="AF38" s="93">
        <f t="shared" si="13"/>
        <v>3</v>
      </c>
      <c r="AG38" s="93">
        <f t="shared" si="13"/>
        <v>3</v>
      </c>
      <c r="AH38" s="158">
        <f t="shared" si="13"/>
        <v>4</v>
      </c>
    </row>
    <row r="39" spans="1:34" x14ac:dyDescent="0.35">
      <c r="A39" s="118">
        <v>12</v>
      </c>
      <c r="B39" s="59" t="str">
        <f t="shared" si="9"/>
        <v>1100</v>
      </c>
      <c r="C39" s="205" t="str">
        <f t="shared" si="5"/>
        <v>1</v>
      </c>
      <c r="D39" s="205" t="str">
        <f t="shared" si="5"/>
        <v>1</v>
      </c>
      <c r="E39" s="205" t="str">
        <f t="shared" si="5"/>
        <v>0</v>
      </c>
      <c r="F39" s="205" t="str">
        <f t="shared" si="5"/>
        <v>0</v>
      </c>
      <c r="G39" s="59" t="str">
        <f t="shared" si="10"/>
        <v>C</v>
      </c>
      <c r="H39" s="206" t="str">
        <f t="shared" si="12"/>
        <v>1</v>
      </c>
      <c r="I39" s="206" t="str">
        <f t="shared" si="12"/>
        <v>1</v>
      </c>
      <c r="J39" s="206" t="str">
        <f t="shared" si="12"/>
        <v>0</v>
      </c>
      <c r="K39" s="206" t="str">
        <f t="shared" si="12"/>
        <v>0</v>
      </c>
      <c r="L39" s="206" t="str">
        <f t="shared" si="12"/>
        <v>0</v>
      </c>
      <c r="M39" s="206" t="str">
        <f t="shared" si="12"/>
        <v>1</v>
      </c>
      <c r="N39" s="206" t="str">
        <f t="shared" si="12"/>
        <v>0</v>
      </c>
      <c r="O39" s="93" t="str">
        <f t="shared" si="7"/>
        <v>1100010</v>
      </c>
      <c r="P39" s="158" t="str">
        <f t="shared" si="11"/>
        <v>62</v>
      </c>
      <c r="Q39"/>
      <c r="R39" s="212" t="s">
        <v>108</v>
      </c>
      <c r="S39" s="94">
        <f t="shared" si="13"/>
        <v>3</v>
      </c>
      <c r="T39" s="93">
        <f t="shared" si="13"/>
        <v>4</v>
      </c>
      <c r="U39" s="93">
        <f t="shared" si="13"/>
        <v>4</v>
      </c>
      <c r="V39" s="93">
        <f t="shared" si="13"/>
        <v>7</v>
      </c>
      <c r="W39" s="93">
        <f t="shared" si="13"/>
        <v>3</v>
      </c>
      <c r="X39" s="93">
        <f t="shared" si="13"/>
        <v>4</v>
      </c>
      <c r="Y39" s="93">
        <f t="shared" si="13"/>
        <v>4</v>
      </c>
      <c r="Z39" s="93">
        <f t="shared" si="13"/>
        <v>3</v>
      </c>
      <c r="AA39" s="93">
        <f t="shared" si="13"/>
        <v>4</v>
      </c>
      <c r="AB39" s="93">
        <f t="shared" si="13"/>
        <v>3</v>
      </c>
      <c r="AC39" s="93">
        <f t="shared" si="13"/>
        <v>3</v>
      </c>
      <c r="AD39" s="93">
        <f t="shared" si="13"/>
        <v>4</v>
      </c>
      <c r="AE39" s="93">
        <f t="shared" si="13"/>
        <v>0</v>
      </c>
      <c r="AF39" s="93">
        <f t="shared" si="13"/>
        <v>3</v>
      </c>
      <c r="AG39" s="93">
        <f t="shared" si="13"/>
        <v>3</v>
      </c>
      <c r="AH39" s="158">
        <f t="shared" si="13"/>
        <v>4</v>
      </c>
    </row>
    <row r="40" spans="1:34" x14ac:dyDescent="0.35">
      <c r="A40" s="118">
        <v>13</v>
      </c>
      <c r="B40" s="59" t="str">
        <f t="shared" si="9"/>
        <v>1101</v>
      </c>
      <c r="C40" s="205" t="str">
        <f t="shared" si="5"/>
        <v>1</v>
      </c>
      <c r="D40" s="205" t="str">
        <f t="shared" si="5"/>
        <v>1</v>
      </c>
      <c r="E40" s="205" t="str">
        <f t="shared" si="5"/>
        <v>0</v>
      </c>
      <c r="F40" s="205" t="str">
        <f t="shared" si="5"/>
        <v>1</v>
      </c>
      <c r="G40" s="59" t="str">
        <f t="shared" si="10"/>
        <v>D</v>
      </c>
      <c r="H40" s="206" t="str">
        <f t="shared" si="12"/>
        <v>1</v>
      </c>
      <c r="I40" s="206" t="str">
        <f t="shared" si="12"/>
        <v>1</v>
      </c>
      <c r="J40" s="206" t="str">
        <f t="shared" si="12"/>
        <v>0</v>
      </c>
      <c r="K40" s="206" t="str">
        <f t="shared" si="12"/>
        <v>1</v>
      </c>
      <c r="L40" s="206" t="str">
        <f t="shared" si="12"/>
        <v>0</v>
      </c>
      <c r="M40" s="206" t="str">
        <f t="shared" si="12"/>
        <v>0</v>
      </c>
      <c r="N40" s="206" t="str">
        <f t="shared" si="12"/>
        <v>1</v>
      </c>
      <c r="O40" s="93" t="str">
        <f t="shared" si="7"/>
        <v>1101001</v>
      </c>
      <c r="P40" s="158" t="str">
        <f t="shared" si="11"/>
        <v>69</v>
      </c>
      <c r="Q40"/>
      <c r="R40" s="212" t="s">
        <v>39</v>
      </c>
      <c r="S40" s="94">
        <f t="shared" si="13"/>
        <v>4</v>
      </c>
      <c r="T40" s="93">
        <f t="shared" si="13"/>
        <v>3</v>
      </c>
      <c r="U40" s="93">
        <f t="shared" si="13"/>
        <v>7</v>
      </c>
      <c r="V40" s="93">
        <f t="shared" si="13"/>
        <v>4</v>
      </c>
      <c r="W40" s="93">
        <f t="shared" si="13"/>
        <v>4</v>
      </c>
      <c r="X40" s="93">
        <f t="shared" si="13"/>
        <v>3</v>
      </c>
      <c r="Y40" s="93">
        <f t="shared" si="13"/>
        <v>3</v>
      </c>
      <c r="Z40" s="93">
        <f t="shared" si="13"/>
        <v>4</v>
      </c>
      <c r="AA40" s="93">
        <f t="shared" si="13"/>
        <v>3</v>
      </c>
      <c r="AB40" s="93">
        <f t="shared" si="13"/>
        <v>4</v>
      </c>
      <c r="AC40" s="93">
        <f t="shared" si="13"/>
        <v>4</v>
      </c>
      <c r="AD40" s="93">
        <f t="shared" si="13"/>
        <v>3</v>
      </c>
      <c r="AE40" s="93">
        <f t="shared" si="13"/>
        <v>3</v>
      </c>
      <c r="AF40" s="93">
        <f t="shared" si="13"/>
        <v>0</v>
      </c>
      <c r="AG40" s="93">
        <f t="shared" si="13"/>
        <v>4</v>
      </c>
      <c r="AH40" s="158">
        <f t="shared" si="13"/>
        <v>3</v>
      </c>
    </row>
    <row r="41" spans="1:34" x14ac:dyDescent="0.35">
      <c r="A41" s="118">
        <v>14</v>
      </c>
      <c r="B41" s="59" t="str">
        <f t="shared" si="9"/>
        <v>1110</v>
      </c>
      <c r="C41" s="205" t="str">
        <f t="shared" si="5"/>
        <v>1</v>
      </c>
      <c r="D41" s="205" t="str">
        <f t="shared" si="5"/>
        <v>1</v>
      </c>
      <c r="E41" s="205" t="str">
        <f t="shared" si="5"/>
        <v>1</v>
      </c>
      <c r="F41" s="205" t="str">
        <f t="shared" si="5"/>
        <v>0</v>
      </c>
      <c r="G41" s="59" t="str">
        <f t="shared" si="10"/>
        <v>E</v>
      </c>
      <c r="H41" s="206" t="str">
        <f t="shared" si="12"/>
        <v>1</v>
      </c>
      <c r="I41" s="206" t="str">
        <f t="shared" si="12"/>
        <v>1</v>
      </c>
      <c r="J41" s="206" t="str">
        <f t="shared" si="12"/>
        <v>1</v>
      </c>
      <c r="K41" s="206" t="str">
        <f t="shared" si="12"/>
        <v>0</v>
      </c>
      <c r="L41" s="206" t="str">
        <f t="shared" si="12"/>
        <v>1</v>
      </c>
      <c r="M41" s="206" t="str">
        <f t="shared" si="12"/>
        <v>0</v>
      </c>
      <c r="N41" s="206" t="str">
        <f t="shared" si="12"/>
        <v>0</v>
      </c>
      <c r="O41" s="93" t="str">
        <f t="shared" si="7"/>
        <v>1110100</v>
      </c>
      <c r="P41" s="158" t="str">
        <f t="shared" si="11"/>
        <v>74</v>
      </c>
      <c r="Q41"/>
      <c r="R41" s="212" t="s">
        <v>37</v>
      </c>
      <c r="S41" s="94">
        <f t="shared" si="13"/>
        <v>4</v>
      </c>
      <c r="T41" s="93">
        <f t="shared" si="13"/>
        <v>7</v>
      </c>
      <c r="U41" s="93">
        <f t="shared" si="13"/>
        <v>3</v>
      </c>
      <c r="V41" s="93">
        <f t="shared" si="13"/>
        <v>4</v>
      </c>
      <c r="W41" s="93">
        <f t="shared" si="13"/>
        <v>4</v>
      </c>
      <c r="X41" s="93">
        <f t="shared" si="13"/>
        <v>3</v>
      </c>
      <c r="Y41" s="93">
        <f t="shared" si="13"/>
        <v>3</v>
      </c>
      <c r="Z41" s="93">
        <f t="shared" si="13"/>
        <v>4</v>
      </c>
      <c r="AA41" s="93">
        <f t="shared" si="13"/>
        <v>3</v>
      </c>
      <c r="AB41" s="93">
        <f t="shared" si="13"/>
        <v>4</v>
      </c>
      <c r="AC41" s="93">
        <f t="shared" si="13"/>
        <v>4</v>
      </c>
      <c r="AD41" s="93">
        <f t="shared" si="13"/>
        <v>3</v>
      </c>
      <c r="AE41" s="93">
        <f t="shared" si="13"/>
        <v>3</v>
      </c>
      <c r="AF41" s="93">
        <f t="shared" si="13"/>
        <v>4</v>
      </c>
      <c r="AG41" s="93">
        <f t="shared" si="13"/>
        <v>0</v>
      </c>
      <c r="AH41" s="158">
        <f t="shared" si="13"/>
        <v>3</v>
      </c>
    </row>
    <row r="42" spans="1:34" ht="18.600000000000001" thickBot="1" x14ac:dyDescent="0.4">
      <c r="A42" s="130">
        <v>15</v>
      </c>
      <c r="B42" s="95" t="str">
        <f t="shared" si="9"/>
        <v>1111</v>
      </c>
      <c r="C42" s="207" t="str">
        <f t="shared" si="5"/>
        <v>1</v>
      </c>
      <c r="D42" s="207" t="str">
        <f t="shared" si="5"/>
        <v>1</v>
      </c>
      <c r="E42" s="207" t="str">
        <f t="shared" si="5"/>
        <v>1</v>
      </c>
      <c r="F42" s="207" t="str">
        <f t="shared" si="5"/>
        <v>1</v>
      </c>
      <c r="G42" s="95" t="str">
        <f t="shared" si="10"/>
        <v>F</v>
      </c>
      <c r="H42" s="208" t="str">
        <f t="shared" si="12"/>
        <v>1</v>
      </c>
      <c r="I42" s="208" t="str">
        <f t="shared" si="12"/>
        <v>1</v>
      </c>
      <c r="J42" s="208" t="str">
        <f t="shared" si="12"/>
        <v>1</v>
      </c>
      <c r="K42" s="208" t="str">
        <f t="shared" si="12"/>
        <v>1</v>
      </c>
      <c r="L42" s="208" t="str">
        <f t="shared" si="12"/>
        <v>1</v>
      </c>
      <c r="M42" s="208" t="str">
        <f t="shared" si="12"/>
        <v>1</v>
      </c>
      <c r="N42" s="208" t="str">
        <f t="shared" si="12"/>
        <v>1</v>
      </c>
      <c r="O42" s="160" t="str">
        <f t="shared" si="7"/>
        <v>1111111</v>
      </c>
      <c r="P42" s="161" t="str">
        <f t="shared" si="11"/>
        <v>7F</v>
      </c>
      <c r="Q42"/>
      <c r="R42" s="213" t="s">
        <v>88</v>
      </c>
      <c r="S42" s="159">
        <f t="shared" si="13"/>
        <v>7</v>
      </c>
      <c r="T42" s="160">
        <f t="shared" si="13"/>
        <v>4</v>
      </c>
      <c r="U42" s="160">
        <f t="shared" si="13"/>
        <v>4</v>
      </c>
      <c r="V42" s="160">
        <f t="shared" si="13"/>
        <v>3</v>
      </c>
      <c r="W42" s="160">
        <f t="shared" si="13"/>
        <v>3</v>
      </c>
      <c r="X42" s="160">
        <f t="shared" si="13"/>
        <v>4</v>
      </c>
      <c r="Y42" s="160">
        <f t="shared" si="13"/>
        <v>4</v>
      </c>
      <c r="Z42" s="160">
        <f t="shared" si="13"/>
        <v>3</v>
      </c>
      <c r="AA42" s="160">
        <f t="shared" si="13"/>
        <v>4</v>
      </c>
      <c r="AB42" s="160">
        <f t="shared" si="13"/>
        <v>3</v>
      </c>
      <c r="AC42" s="160">
        <f t="shared" si="13"/>
        <v>3</v>
      </c>
      <c r="AD42" s="160">
        <f t="shared" si="13"/>
        <v>4</v>
      </c>
      <c r="AE42" s="160">
        <f t="shared" si="13"/>
        <v>4</v>
      </c>
      <c r="AF42" s="160">
        <f t="shared" si="13"/>
        <v>3</v>
      </c>
      <c r="AG42" s="160">
        <f t="shared" si="13"/>
        <v>3</v>
      </c>
      <c r="AH42" s="161">
        <f t="shared" si="13"/>
        <v>0</v>
      </c>
    </row>
    <row r="43" spans="1:34" x14ac:dyDescent="0.35">
      <c r="Q43"/>
      <c r="R43"/>
      <c r="S43"/>
    </row>
    <row r="70" spans="1:19" x14ac:dyDescent="0.35">
      <c r="B70" s="57"/>
      <c r="D70" s="57"/>
      <c r="E70" s="57"/>
      <c r="F70" s="57"/>
      <c r="G70" s="57"/>
    </row>
    <row r="71" spans="1:19" x14ac:dyDescent="0.35">
      <c r="G71" s="3">
        <v>1</v>
      </c>
      <c r="H71" s="3">
        <v>2</v>
      </c>
      <c r="I71" s="3">
        <v>3</v>
      </c>
      <c r="J71" s="3">
        <v>4</v>
      </c>
    </row>
    <row r="72" spans="1:19" x14ac:dyDescent="0.35">
      <c r="G72" s="214" t="s">
        <v>165</v>
      </c>
      <c r="H72" s="214"/>
      <c r="I72" s="214"/>
      <c r="J72" s="214"/>
    </row>
    <row r="73" spans="1:19" x14ac:dyDescent="0.35">
      <c r="B73" s="191" t="s">
        <v>173</v>
      </c>
      <c r="D73" s="278" t="str">
        <f>HEX2BIN(B73,4)</f>
        <v>1010</v>
      </c>
      <c r="E73" s="279"/>
      <c r="G73" s="192" t="str">
        <f t="shared" ref="G73:J88" si="14">MID($D73,G$71,1)</f>
        <v>1</v>
      </c>
      <c r="H73" s="3" t="str">
        <f t="shared" si="14"/>
        <v>0</v>
      </c>
      <c r="I73" s="3" t="str">
        <f t="shared" si="14"/>
        <v>1</v>
      </c>
      <c r="J73" s="193" t="str">
        <f t="shared" si="14"/>
        <v>0</v>
      </c>
    </row>
    <row r="74" spans="1:19" x14ac:dyDescent="0.35">
      <c r="B74" s="191" t="s">
        <v>174</v>
      </c>
      <c r="D74" s="278" t="str">
        <f t="shared" ref="D74:D88" si="15">HEX2BIN(B74,4)</f>
        <v>1111</v>
      </c>
      <c r="E74" s="279"/>
      <c r="G74" s="192" t="str">
        <f t="shared" si="14"/>
        <v>1</v>
      </c>
      <c r="H74" s="3" t="str">
        <f t="shared" si="14"/>
        <v>1</v>
      </c>
      <c r="I74" s="3" t="str">
        <f t="shared" si="14"/>
        <v>1</v>
      </c>
      <c r="J74" s="193" t="str">
        <f t="shared" si="14"/>
        <v>1</v>
      </c>
    </row>
    <row r="75" spans="1:19" x14ac:dyDescent="0.35">
      <c r="B75" s="191">
        <v>0</v>
      </c>
      <c r="D75" s="278" t="str">
        <f t="shared" si="15"/>
        <v>0000</v>
      </c>
      <c r="E75" s="279"/>
      <c r="G75" s="192" t="str">
        <f t="shared" si="14"/>
        <v>0</v>
      </c>
      <c r="H75" s="3" t="str">
        <f t="shared" si="14"/>
        <v>0</v>
      </c>
      <c r="I75" s="3" t="str">
        <f t="shared" si="14"/>
        <v>0</v>
      </c>
      <c r="J75" s="193" t="str">
        <f t="shared" si="14"/>
        <v>0</v>
      </c>
    </row>
    <row r="76" spans="1:19" x14ac:dyDescent="0.35">
      <c r="B76" s="191">
        <v>1</v>
      </c>
      <c r="D76" s="278" t="str">
        <f t="shared" si="15"/>
        <v>0001</v>
      </c>
      <c r="E76" s="279"/>
      <c r="G76" s="192" t="str">
        <f t="shared" si="14"/>
        <v>0</v>
      </c>
      <c r="H76" s="3" t="str">
        <f t="shared" si="14"/>
        <v>0</v>
      </c>
      <c r="I76" s="3" t="str">
        <f t="shared" si="14"/>
        <v>0</v>
      </c>
      <c r="J76" s="193" t="str">
        <f t="shared" si="14"/>
        <v>1</v>
      </c>
    </row>
    <row r="77" spans="1:19" x14ac:dyDescent="0.35">
      <c r="B77" s="191">
        <v>5</v>
      </c>
      <c r="D77" s="278" t="str">
        <f t="shared" si="15"/>
        <v>0101</v>
      </c>
      <c r="E77" s="279"/>
      <c r="G77" s="192" t="str">
        <f t="shared" si="14"/>
        <v>0</v>
      </c>
      <c r="H77" s="3" t="str">
        <f t="shared" si="14"/>
        <v>1</v>
      </c>
      <c r="I77" s="3" t="str">
        <f t="shared" si="14"/>
        <v>0</v>
      </c>
      <c r="J77" s="193" t="str">
        <f t="shared" si="14"/>
        <v>1</v>
      </c>
    </row>
    <row r="78" spans="1:19" x14ac:dyDescent="0.35">
      <c r="B78" s="191">
        <v>6</v>
      </c>
      <c r="D78" s="278" t="str">
        <f t="shared" si="15"/>
        <v>0110</v>
      </c>
      <c r="E78" s="279"/>
      <c r="G78" s="192" t="str">
        <f t="shared" si="14"/>
        <v>0</v>
      </c>
      <c r="H78" s="3" t="str">
        <f t="shared" si="14"/>
        <v>1</v>
      </c>
      <c r="I78" s="3" t="str">
        <f t="shared" si="14"/>
        <v>1</v>
      </c>
      <c r="J78" s="193" t="str">
        <f t="shared" si="14"/>
        <v>0</v>
      </c>
      <c r="L78" s="57" t="s">
        <v>147</v>
      </c>
      <c r="M78" s="57" t="s">
        <v>148</v>
      </c>
      <c r="N78" s="57" t="s">
        <v>149</v>
      </c>
      <c r="O78" s="57" t="s">
        <v>150</v>
      </c>
      <c r="P78" s="57" t="s">
        <v>151</v>
      </c>
      <c r="Q78" s="57" t="s">
        <v>152</v>
      </c>
      <c r="R78" s="57" t="s">
        <v>153</v>
      </c>
    </row>
    <row r="79" spans="1:19" x14ac:dyDescent="0.35">
      <c r="B79" s="191">
        <v>7</v>
      </c>
      <c r="D79" s="278" t="str">
        <f t="shared" si="15"/>
        <v>0111</v>
      </c>
      <c r="E79" s="279"/>
      <c r="G79" s="192" t="str">
        <f t="shared" si="14"/>
        <v>0</v>
      </c>
      <c r="H79" s="3" t="str">
        <f t="shared" si="14"/>
        <v>1</v>
      </c>
      <c r="I79" s="3" t="str">
        <f t="shared" si="14"/>
        <v>1</v>
      </c>
      <c r="J79" s="193" t="str">
        <f t="shared" si="14"/>
        <v>1</v>
      </c>
      <c r="L79" s="196">
        <v>1</v>
      </c>
      <c r="M79" s="197">
        <v>0</v>
      </c>
      <c r="N79" s="197">
        <v>0</v>
      </c>
      <c r="O79" s="197">
        <v>0</v>
      </c>
      <c r="P79" s="198">
        <v>1</v>
      </c>
      <c r="Q79" s="198">
        <v>0</v>
      </c>
      <c r="R79" s="199">
        <v>1</v>
      </c>
    </row>
    <row r="80" spans="1:19" x14ac:dyDescent="0.35">
      <c r="A80" s="281" t="s">
        <v>169</v>
      </c>
      <c r="B80" s="191" t="s">
        <v>174</v>
      </c>
      <c r="C80" s="269" t="s">
        <v>170</v>
      </c>
      <c r="D80" s="278" t="str">
        <f t="shared" si="15"/>
        <v>1111</v>
      </c>
      <c r="E80" s="279"/>
      <c r="F80" s="269" t="s">
        <v>170</v>
      </c>
      <c r="G80" s="192" t="str">
        <f t="shared" si="14"/>
        <v>1</v>
      </c>
      <c r="H80" s="3" t="str">
        <f t="shared" si="14"/>
        <v>1</v>
      </c>
      <c r="I80" s="3" t="str">
        <f t="shared" si="14"/>
        <v>1</v>
      </c>
      <c r="J80" s="193" t="str">
        <f t="shared" si="14"/>
        <v>1</v>
      </c>
      <c r="K80" s="280" t="s">
        <v>171</v>
      </c>
      <c r="L80" s="196">
        <v>0</v>
      </c>
      <c r="M80" s="197">
        <v>1</v>
      </c>
      <c r="N80" s="197">
        <v>0</v>
      </c>
      <c r="O80" s="197">
        <v>0</v>
      </c>
      <c r="P80" s="198">
        <v>1</v>
      </c>
      <c r="Q80" s="198">
        <v>1</v>
      </c>
      <c r="R80" s="199">
        <v>1</v>
      </c>
      <c r="S80" s="269" t="s">
        <v>170</v>
      </c>
    </row>
    <row r="81" spans="1:51" x14ac:dyDescent="0.35">
      <c r="A81" s="281"/>
      <c r="B81" s="191" t="s">
        <v>175</v>
      </c>
      <c r="C81" s="269"/>
      <c r="D81" s="278" t="str">
        <f t="shared" si="15"/>
        <v>1100</v>
      </c>
      <c r="E81" s="279"/>
      <c r="F81" s="269"/>
      <c r="G81" s="192" t="str">
        <f t="shared" si="14"/>
        <v>1</v>
      </c>
      <c r="H81" s="3" t="str">
        <f t="shared" si="14"/>
        <v>1</v>
      </c>
      <c r="I81" s="3" t="str">
        <f t="shared" si="14"/>
        <v>0</v>
      </c>
      <c r="J81" s="193" t="str">
        <f t="shared" si="14"/>
        <v>0</v>
      </c>
      <c r="K81" s="280"/>
      <c r="L81" s="196">
        <v>0</v>
      </c>
      <c r="M81" s="197">
        <v>0</v>
      </c>
      <c r="N81" s="197">
        <v>1</v>
      </c>
      <c r="O81" s="197">
        <v>0</v>
      </c>
      <c r="P81" s="198">
        <v>1</v>
      </c>
      <c r="Q81" s="198">
        <v>1</v>
      </c>
      <c r="R81" s="199">
        <v>0</v>
      </c>
      <c r="S81" s="269"/>
    </row>
    <row r="82" spans="1:51" x14ac:dyDescent="0.35">
      <c r="B82" s="191" t="s">
        <v>175</v>
      </c>
      <c r="D82" s="278" t="str">
        <f t="shared" si="15"/>
        <v>1100</v>
      </c>
      <c r="E82" s="279"/>
      <c r="G82" s="192" t="str">
        <f t="shared" si="14"/>
        <v>1</v>
      </c>
      <c r="H82" s="3" t="str">
        <f t="shared" si="14"/>
        <v>1</v>
      </c>
      <c r="I82" s="3" t="str">
        <f t="shared" si="14"/>
        <v>0</v>
      </c>
      <c r="J82" s="193" t="str">
        <f t="shared" si="14"/>
        <v>0</v>
      </c>
      <c r="L82" s="196">
        <v>0</v>
      </c>
      <c r="M82" s="197">
        <v>0</v>
      </c>
      <c r="N82" s="197">
        <v>0</v>
      </c>
      <c r="O82" s="197">
        <v>1</v>
      </c>
      <c r="P82" s="198">
        <v>0</v>
      </c>
      <c r="Q82" s="198">
        <v>1</v>
      </c>
      <c r="R82" s="199">
        <v>1</v>
      </c>
    </row>
    <row r="83" spans="1:51" x14ac:dyDescent="0.35">
      <c r="B83" s="191" t="s">
        <v>173</v>
      </c>
      <c r="D83" s="278" t="str">
        <f t="shared" si="15"/>
        <v>1010</v>
      </c>
      <c r="E83" s="279"/>
      <c r="G83" s="192" t="str">
        <f t="shared" si="14"/>
        <v>1</v>
      </c>
      <c r="H83" s="3" t="str">
        <f t="shared" si="14"/>
        <v>0</v>
      </c>
      <c r="I83" s="3" t="str">
        <f t="shared" si="14"/>
        <v>1</v>
      </c>
      <c r="J83" s="193" t="str">
        <f t="shared" si="14"/>
        <v>0</v>
      </c>
    </row>
    <row r="84" spans="1:51" x14ac:dyDescent="0.35">
      <c r="B84" s="191" t="s">
        <v>176</v>
      </c>
      <c r="D84" s="278" t="str">
        <f t="shared" si="15"/>
        <v>1011</v>
      </c>
      <c r="E84" s="279"/>
      <c r="G84" s="192" t="str">
        <f t="shared" si="14"/>
        <v>1</v>
      </c>
      <c r="H84" s="3" t="str">
        <f t="shared" si="14"/>
        <v>0</v>
      </c>
      <c r="I84" s="3" t="str">
        <f t="shared" si="14"/>
        <v>1</v>
      </c>
      <c r="J84" s="193" t="str">
        <f t="shared" si="14"/>
        <v>1</v>
      </c>
    </row>
    <row r="85" spans="1:51" x14ac:dyDescent="0.35">
      <c r="B85" s="191">
        <v>1</v>
      </c>
      <c r="D85" s="278" t="str">
        <f t="shared" si="15"/>
        <v>0001</v>
      </c>
      <c r="E85" s="279"/>
      <c r="G85" s="192" t="str">
        <f t="shared" si="14"/>
        <v>0</v>
      </c>
      <c r="H85" s="3" t="str">
        <f t="shared" si="14"/>
        <v>0</v>
      </c>
      <c r="I85" s="3" t="str">
        <f t="shared" si="14"/>
        <v>0</v>
      </c>
      <c r="J85" s="193" t="str">
        <f t="shared" si="14"/>
        <v>1</v>
      </c>
    </row>
    <row r="86" spans="1:51" x14ac:dyDescent="0.35">
      <c r="B86" s="191">
        <v>2</v>
      </c>
      <c r="D86" s="278" t="str">
        <f t="shared" si="15"/>
        <v>0010</v>
      </c>
      <c r="E86" s="279"/>
      <c r="G86" s="192" t="str">
        <f t="shared" si="14"/>
        <v>0</v>
      </c>
      <c r="H86" s="3" t="str">
        <f t="shared" si="14"/>
        <v>0</v>
      </c>
      <c r="I86" s="3" t="str">
        <f t="shared" si="14"/>
        <v>1</v>
      </c>
      <c r="J86" s="193" t="str">
        <f t="shared" si="14"/>
        <v>0</v>
      </c>
    </row>
    <row r="87" spans="1:51" x14ac:dyDescent="0.35">
      <c r="B87" s="191">
        <v>3</v>
      </c>
      <c r="D87" s="278" t="str">
        <f t="shared" si="15"/>
        <v>0011</v>
      </c>
      <c r="E87" s="279"/>
      <c r="G87" s="192" t="str">
        <f t="shared" si="14"/>
        <v>0</v>
      </c>
      <c r="H87" s="3" t="str">
        <f t="shared" si="14"/>
        <v>0</v>
      </c>
      <c r="I87" s="3" t="str">
        <f t="shared" si="14"/>
        <v>1</v>
      </c>
      <c r="J87" s="193" t="str">
        <f t="shared" si="14"/>
        <v>1</v>
      </c>
    </row>
    <row r="88" spans="1:51" x14ac:dyDescent="0.35">
      <c r="B88" s="191">
        <v>4</v>
      </c>
      <c r="D88" s="278" t="str">
        <f t="shared" si="15"/>
        <v>0100</v>
      </c>
      <c r="E88" s="279"/>
      <c r="G88" s="192" t="str">
        <f t="shared" si="14"/>
        <v>0</v>
      </c>
      <c r="H88" s="3" t="str">
        <f t="shared" si="14"/>
        <v>1</v>
      </c>
      <c r="I88" s="3" t="str">
        <f t="shared" si="14"/>
        <v>0</v>
      </c>
      <c r="J88" s="193" t="str">
        <f t="shared" si="14"/>
        <v>0</v>
      </c>
    </row>
    <row r="91" spans="1:51" x14ac:dyDescent="0.35">
      <c r="D91" s="3" t="s">
        <v>165</v>
      </c>
      <c r="Y91" s="214" t="s">
        <v>164</v>
      </c>
      <c r="Z91" s="214"/>
      <c r="AA91" s="214"/>
      <c r="AB91" s="214"/>
      <c r="AC91" s="214"/>
      <c r="AD91" s="214"/>
      <c r="AE91" s="214"/>
    </row>
    <row r="92" spans="1:51" x14ac:dyDescent="0.35">
      <c r="D92" s="195">
        <v>1</v>
      </c>
      <c r="E92" s="3">
        <v>0</v>
      </c>
      <c r="F92" s="3">
        <v>1</v>
      </c>
      <c r="G92" s="193">
        <v>0</v>
      </c>
      <c r="Q92" s="57" t="s">
        <v>147</v>
      </c>
      <c r="R92" s="57" t="s">
        <v>148</v>
      </c>
      <c r="S92" s="57" t="s">
        <v>149</v>
      </c>
      <c r="T92" s="57" t="s">
        <v>150</v>
      </c>
      <c r="U92" s="57" t="s">
        <v>151</v>
      </c>
      <c r="V92" s="57" t="s">
        <v>152</v>
      </c>
      <c r="W92" s="57" t="s">
        <v>153</v>
      </c>
      <c r="Y92" s="57" t="s">
        <v>147</v>
      </c>
      <c r="Z92" s="57" t="s">
        <v>148</v>
      </c>
      <c r="AA92" s="57" t="s">
        <v>149</v>
      </c>
      <c r="AB92" s="57" t="s">
        <v>150</v>
      </c>
      <c r="AC92" s="57" t="s">
        <v>151</v>
      </c>
      <c r="AD92" s="57" t="s">
        <v>152</v>
      </c>
      <c r="AE92" s="57" t="s">
        <v>153</v>
      </c>
      <c r="AG92" s="57" t="s">
        <v>166</v>
      </c>
      <c r="AI92" s="59" t="s">
        <v>167</v>
      </c>
      <c r="AJ92" s="117" t="s">
        <v>177</v>
      </c>
      <c r="AK92" s="229" t="s">
        <v>178</v>
      </c>
      <c r="AL92" s="229"/>
      <c r="AN92" s="271" t="s">
        <v>179</v>
      </c>
      <c r="AO92" s="272"/>
      <c r="AP92" s="273" t="str">
        <f>B73&amp;B74&amp;B75&amp;B76&amp;B77&amp;B78&amp;B79&amp;B80&amp;B81&amp;B82&amp;B83&amp;B84&amp;B85&amp;B86&amp;B87&amp;B88</f>
        <v>AF01567FCCAB1234</v>
      </c>
      <c r="AQ92" s="273"/>
      <c r="AS92" s="274" t="s">
        <v>180</v>
      </c>
      <c r="AT92" s="274"/>
      <c r="AU92" s="274"/>
      <c r="AV92" s="274" t="str">
        <f>AL108</f>
        <v>000B161D272C313A454E53586269747F</v>
      </c>
      <c r="AW92" s="274"/>
      <c r="AX92" s="274"/>
      <c r="AY92" s="274"/>
    </row>
    <row r="93" spans="1:51" x14ac:dyDescent="0.35">
      <c r="D93" s="192">
        <v>1</v>
      </c>
      <c r="E93" s="3">
        <v>1</v>
      </c>
      <c r="F93" s="3">
        <v>1</v>
      </c>
      <c r="G93" s="193">
        <v>1</v>
      </c>
      <c r="Q93" s="192">
        <f t="shared" ref="Q93:Q108" si="16">MMULT($D92:$G92,I$98:I$101)</f>
        <v>1</v>
      </c>
      <c r="R93" s="3">
        <f t="shared" ref="R93:R108" si="17">MMULT($D92:$G92,J$98:J$101)</f>
        <v>0</v>
      </c>
      <c r="S93" s="3">
        <f t="shared" ref="S93:S108" si="18">MMULT($D92:$G92,K$98:K$101)</f>
        <v>1</v>
      </c>
      <c r="T93" s="3">
        <f t="shared" ref="T93:T108" si="19">MMULT($D92:$G92,L$98:L$101)</f>
        <v>0</v>
      </c>
      <c r="U93" s="3">
        <f t="shared" ref="U93:U108" si="20">MMULT($D92:$G92,M$98:M$101)</f>
        <v>2</v>
      </c>
      <c r="V93" s="3">
        <f t="shared" ref="V93:V108" si="21">MMULT($D92:$G92,N$98:N$101)</f>
        <v>1</v>
      </c>
      <c r="W93" s="193">
        <f t="shared" ref="W93:W108" si="22">MMULT($D92:$G92,O$98:O$101)</f>
        <v>1</v>
      </c>
      <c r="Y93" s="192">
        <f>MOD(Q93,2)</f>
        <v>1</v>
      </c>
      <c r="Z93" s="3">
        <f t="shared" ref="Z93:AE108" si="23">MOD(R93,2)</f>
        <v>0</v>
      </c>
      <c r="AA93" s="3">
        <f t="shared" si="23"/>
        <v>1</v>
      </c>
      <c r="AB93" s="3">
        <f t="shared" si="23"/>
        <v>0</v>
      </c>
      <c r="AC93" s="3">
        <f t="shared" si="23"/>
        <v>0</v>
      </c>
      <c r="AD93" s="3">
        <f t="shared" si="23"/>
        <v>1</v>
      </c>
      <c r="AE93" s="193">
        <f t="shared" si="23"/>
        <v>1</v>
      </c>
      <c r="AG93" s="194" t="str">
        <f>Y93&amp;Z93&amp;AA93&amp;AB93&amp;AC93&amp;AD93&amp;AE93</f>
        <v>1010011</v>
      </c>
      <c r="AI93" s="117" t="s">
        <v>87</v>
      </c>
      <c r="AJ93" s="117" t="str">
        <f>BIN2HEX(AI93,2)</f>
        <v>00</v>
      </c>
      <c r="AK93" s="117" t="str">
        <f>BIN2HEX(MID(AI93,1,4),1)</f>
        <v>0</v>
      </c>
      <c r="AL93" s="117" t="str">
        <f>AJ93</f>
        <v>00</v>
      </c>
      <c r="AN93" s="275" t="s">
        <v>181</v>
      </c>
      <c r="AO93" s="275"/>
      <c r="AP93" s="276">
        <f>LEN(AP92)</f>
        <v>16</v>
      </c>
      <c r="AQ93" s="276"/>
      <c r="AS93" s="277" t="s">
        <v>182</v>
      </c>
      <c r="AT93" s="277"/>
      <c r="AU93" s="277"/>
      <c r="AV93" s="274">
        <f>LEN(AV92)</f>
        <v>32</v>
      </c>
      <c r="AW93" s="274"/>
      <c r="AX93" s="274"/>
      <c r="AY93" s="274"/>
    </row>
    <row r="94" spans="1:51" x14ac:dyDescent="0.35">
      <c r="D94" s="192">
        <v>0</v>
      </c>
      <c r="E94" s="3">
        <v>0</v>
      </c>
      <c r="F94" s="3">
        <v>0</v>
      </c>
      <c r="G94" s="193">
        <v>0</v>
      </c>
      <c r="Q94" s="192">
        <f t="shared" si="16"/>
        <v>1</v>
      </c>
      <c r="R94" s="3">
        <f t="shared" si="17"/>
        <v>1</v>
      </c>
      <c r="S94" s="3">
        <f t="shared" si="18"/>
        <v>1</v>
      </c>
      <c r="T94" s="3">
        <f t="shared" si="19"/>
        <v>1</v>
      </c>
      <c r="U94" s="3">
        <f t="shared" si="20"/>
        <v>3</v>
      </c>
      <c r="V94" s="3">
        <f t="shared" si="21"/>
        <v>3</v>
      </c>
      <c r="W94" s="193">
        <f t="shared" si="22"/>
        <v>3</v>
      </c>
      <c r="Y94" s="192">
        <f t="shared" ref="Y94:Y108" si="24">MOD(Q94,2)</f>
        <v>1</v>
      </c>
      <c r="Z94" s="3">
        <f t="shared" si="23"/>
        <v>1</v>
      </c>
      <c r="AA94" s="3">
        <f t="shared" si="23"/>
        <v>1</v>
      </c>
      <c r="AB94" s="3">
        <f t="shared" si="23"/>
        <v>1</v>
      </c>
      <c r="AC94" s="3">
        <f t="shared" si="23"/>
        <v>1</v>
      </c>
      <c r="AD94" s="3">
        <f t="shared" si="23"/>
        <v>1</v>
      </c>
      <c r="AE94" s="193">
        <f t="shared" si="23"/>
        <v>1</v>
      </c>
      <c r="AG94" s="194" t="str">
        <f t="shared" ref="AG94:AG108" si="25">Y94&amp;Z94&amp;AA94&amp;AB94&amp;AC94&amp;AD94&amp;AE94</f>
        <v>1111111</v>
      </c>
      <c r="AI94" s="117" t="s">
        <v>95</v>
      </c>
      <c r="AJ94" s="117" t="str">
        <f t="shared" ref="AJ94:AJ108" si="26">BIN2HEX(AI94,2)</f>
        <v>0B</v>
      </c>
      <c r="AK94" s="117" t="str">
        <f t="shared" ref="AK94:AK108" si="27">BIN2HEX(MID(AI94,1,4),1)</f>
        <v>1</v>
      </c>
      <c r="AL94" s="117" t="str">
        <f>AL93&amp;AJ94</f>
        <v>000B</v>
      </c>
      <c r="AN94" s="275"/>
      <c r="AO94" s="275"/>
      <c r="AP94" s="276"/>
      <c r="AQ94" s="276"/>
      <c r="AS94" s="277"/>
      <c r="AT94" s="277"/>
      <c r="AU94" s="277"/>
      <c r="AV94" s="274"/>
      <c r="AW94" s="274"/>
      <c r="AX94" s="274"/>
      <c r="AY94" s="274"/>
    </row>
    <row r="95" spans="1:51" x14ac:dyDescent="0.35">
      <c r="D95" s="192">
        <v>0</v>
      </c>
      <c r="E95" s="3">
        <v>0</v>
      </c>
      <c r="F95" s="3">
        <v>0</v>
      </c>
      <c r="G95" s="193">
        <v>1</v>
      </c>
      <c r="Q95" s="192">
        <f t="shared" si="16"/>
        <v>0</v>
      </c>
      <c r="R95" s="3">
        <f t="shared" si="17"/>
        <v>0</v>
      </c>
      <c r="S95" s="3">
        <f t="shared" si="18"/>
        <v>0</v>
      </c>
      <c r="T95" s="3">
        <f t="shared" si="19"/>
        <v>0</v>
      </c>
      <c r="U95" s="3">
        <f t="shared" si="20"/>
        <v>0</v>
      </c>
      <c r="V95" s="3">
        <f t="shared" si="21"/>
        <v>0</v>
      </c>
      <c r="W95" s="193">
        <f t="shared" si="22"/>
        <v>0</v>
      </c>
      <c r="Y95" s="192">
        <f t="shared" si="24"/>
        <v>0</v>
      </c>
      <c r="Z95" s="3">
        <f t="shared" si="23"/>
        <v>0</v>
      </c>
      <c r="AA95" s="3">
        <f t="shared" si="23"/>
        <v>0</v>
      </c>
      <c r="AB95" s="3">
        <f t="shared" si="23"/>
        <v>0</v>
      </c>
      <c r="AC95" s="3">
        <f t="shared" si="23"/>
        <v>0</v>
      </c>
      <c r="AD95" s="3">
        <f t="shared" si="23"/>
        <v>0</v>
      </c>
      <c r="AE95" s="193">
        <f t="shared" si="23"/>
        <v>0</v>
      </c>
      <c r="AG95" s="194" t="str">
        <f t="shared" si="25"/>
        <v>0000000</v>
      </c>
      <c r="AI95" s="117" t="s">
        <v>28</v>
      </c>
      <c r="AJ95" s="117" t="str">
        <f t="shared" si="26"/>
        <v>16</v>
      </c>
      <c r="AK95" s="117" t="str">
        <f t="shared" si="27"/>
        <v>2</v>
      </c>
      <c r="AL95" s="117" t="str">
        <f t="shared" ref="AL95:AL108" si="28">AL94&amp;AJ95</f>
        <v>000B16</v>
      </c>
    </row>
    <row r="96" spans="1:51" x14ac:dyDescent="0.35">
      <c r="D96" s="192">
        <v>0</v>
      </c>
      <c r="E96" s="3">
        <v>1</v>
      </c>
      <c r="F96" s="3">
        <v>0</v>
      </c>
      <c r="G96" s="193">
        <v>1</v>
      </c>
      <c r="Q96" s="192">
        <f t="shared" si="16"/>
        <v>0</v>
      </c>
      <c r="R96" s="3">
        <f t="shared" si="17"/>
        <v>0</v>
      </c>
      <c r="S96" s="3">
        <f t="shared" si="18"/>
        <v>0</v>
      </c>
      <c r="T96" s="3">
        <f t="shared" si="19"/>
        <v>1</v>
      </c>
      <c r="U96" s="3">
        <f t="shared" si="20"/>
        <v>0</v>
      </c>
      <c r="V96" s="3">
        <f t="shared" si="21"/>
        <v>1</v>
      </c>
      <c r="W96" s="193">
        <f t="shared" si="22"/>
        <v>1</v>
      </c>
      <c r="Y96" s="192">
        <f t="shared" si="24"/>
        <v>0</v>
      </c>
      <c r="Z96" s="3">
        <f t="shared" si="23"/>
        <v>0</v>
      </c>
      <c r="AA96" s="3">
        <f t="shared" si="23"/>
        <v>0</v>
      </c>
      <c r="AB96" s="3">
        <f t="shared" si="23"/>
        <v>1</v>
      </c>
      <c r="AC96" s="3">
        <f t="shared" si="23"/>
        <v>0</v>
      </c>
      <c r="AD96" s="3">
        <f t="shared" si="23"/>
        <v>1</v>
      </c>
      <c r="AE96" s="193">
        <f t="shared" si="23"/>
        <v>1</v>
      </c>
      <c r="AG96" s="194" t="str">
        <f t="shared" si="25"/>
        <v>0001011</v>
      </c>
      <c r="AI96" s="117" t="s">
        <v>97</v>
      </c>
      <c r="AJ96" s="117" t="str">
        <f t="shared" si="26"/>
        <v>1D</v>
      </c>
      <c r="AK96" s="117" t="str">
        <f t="shared" si="27"/>
        <v>3</v>
      </c>
      <c r="AL96" s="117" t="str">
        <f t="shared" si="28"/>
        <v>000B161D</v>
      </c>
    </row>
    <row r="97" spans="3:38" x14ac:dyDescent="0.35">
      <c r="D97" s="192">
        <v>0</v>
      </c>
      <c r="E97" s="3">
        <v>1</v>
      </c>
      <c r="F97" s="3">
        <v>1</v>
      </c>
      <c r="G97" s="193">
        <v>0</v>
      </c>
      <c r="I97" s="3" t="s">
        <v>147</v>
      </c>
      <c r="J97" s="3" t="s">
        <v>148</v>
      </c>
      <c r="K97" s="3" t="s">
        <v>149</v>
      </c>
      <c r="L97" s="3" t="s">
        <v>150</v>
      </c>
      <c r="M97" s="3" t="s">
        <v>151</v>
      </c>
      <c r="N97" s="3" t="s">
        <v>152</v>
      </c>
      <c r="O97" s="3" t="s">
        <v>153</v>
      </c>
      <c r="Q97" s="192">
        <f t="shared" si="16"/>
        <v>0</v>
      </c>
      <c r="R97" s="3">
        <f t="shared" si="17"/>
        <v>1</v>
      </c>
      <c r="S97" s="3">
        <f t="shared" si="18"/>
        <v>0</v>
      </c>
      <c r="T97" s="3">
        <f t="shared" si="19"/>
        <v>1</v>
      </c>
      <c r="U97" s="3">
        <f t="shared" si="20"/>
        <v>1</v>
      </c>
      <c r="V97" s="3">
        <f t="shared" si="21"/>
        <v>2</v>
      </c>
      <c r="W97" s="193">
        <f t="shared" si="22"/>
        <v>2</v>
      </c>
      <c r="Y97" s="192">
        <f t="shared" si="24"/>
        <v>0</v>
      </c>
      <c r="Z97" s="3">
        <f t="shared" si="23"/>
        <v>1</v>
      </c>
      <c r="AA97" s="3">
        <f t="shared" si="23"/>
        <v>0</v>
      </c>
      <c r="AB97" s="3">
        <f t="shared" si="23"/>
        <v>1</v>
      </c>
      <c r="AC97" s="3">
        <f t="shared" si="23"/>
        <v>1</v>
      </c>
      <c r="AD97" s="3">
        <f t="shared" si="23"/>
        <v>0</v>
      </c>
      <c r="AE97" s="193">
        <f t="shared" si="23"/>
        <v>0</v>
      </c>
      <c r="AG97" s="194" t="str">
        <f t="shared" si="25"/>
        <v>0101100</v>
      </c>
      <c r="AI97" s="117" t="s">
        <v>99</v>
      </c>
      <c r="AJ97" s="117" t="str">
        <f t="shared" si="26"/>
        <v>27</v>
      </c>
      <c r="AK97" s="117" t="str">
        <f t="shared" si="27"/>
        <v>4</v>
      </c>
      <c r="AL97" s="117" t="str">
        <f t="shared" si="28"/>
        <v>000B161D27</v>
      </c>
    </row>
    <row r="98" spans="3:38" x14ac:dyDescent="0.35">
      <c r="D98" s="192">
        <v>0</v>
      </c>
      <c r="E98" s="3">
        <v>1</v>
      </c>
      <c r="F98" s="3">
        <v>1</v>
      </c>
      <c r="G98" s="193">
        <v>1</v>
      </c>
      <c r="I98" s="192">
        <v>1</v>
      </c>
      <c r="J98" s="3">
        <v>0</v>
      </c>
      <c r="K98" s="3">
        <v>0</v>
      </c>
      <c r="L98" s="3">
        <v>0</v>
      </c>
      <c r="M98" s="3">
        <v>1</v>
      </c>
      <c r="N98" s="3">
        <v>0</v>
      </c>
      <c r="O98" s="193">
        <v>1</v>
      </c>
      <c r="Q98" s="192">
        <f t="shared" si="16"/>
        <v>0</v>
      </c>
      <c r="R98" s="3">
        <f t="shared" si="17"/>
        <v>1</v>
      </c>
      <c r="S98" s="3">
        <f t="shared" si="18"/>
        <v>1</v>
      </c>
      <c r="T98" s="3">
        <f t="shared" si="19"/>
        <v>0</v>
      </c>
      <c r="U98" s="3">
        <f t="shared" si="20"/>
        <v>2</v>
      </c>
      <c r="V98" s="3">
        <f t="shared" si="21"/>
        <v>2</v>
      </c>
      <c r="W98" s="193">
        <f t="shared" si="22"/>
        <v>1</v>
      </c>
      <c r="Y98" s="192">
        <f t="shared" si="24"/>
        <v>0</v>
      </c>
      <c r="Z98" s="3">
        <f t="shared" si="23"/>
        <v>1</v>
      </c>
      <c r="AA98" s="3">
        <f t="shared" si="23"/>
        <v>1</v>
      </c>
      <c r="AB98" s="3">
        <f t="shared" si="23"/>
        <v>0</v>
      </c>
      <c r="AC98" s="3">
        <f t="shared" si="23"/>
        <v>0</v>
      </c>
      <c r="AD98" s="3">
        <f t="shared" si="23"/>
        <v>0</v>
      </c>
      <c r="AE98" s="193">
        <f t="shared" si="23"/>
        <v>1</v>
      </c>
      <c r="AG98" s="194" t="str">
        <f t="shared" si="25"/>
        <v>0110001</v>
      </c>
      <c r="AI98" s="117" t="s">
        <v>85</v>
      </c>
      <c r="AJ98" s="117" t="str">
        <f t="shared" si="26"/>
        <v>2C</v>
      </c>
      <c r="AK98" s="117" t="str">
        <f t="shared" si="27"/>
        <v>5</v>
      </c>
      <c r="AL98" s="117" t="str">
        <f t="shared" si="28"/>
        <v>000B161D272C</v>
      </c>
    </row>
    <row r="99" spans="3:38" x14ac:dyDescent="0.35">
      <c r="C99" s="269" t="s">
        <v>170</v>
      </c>
      <c r="D99" s="192">
        <v>1</v>
      </c>
      <c r="E99" s="3">
        <v>1</v>
      </c>
      <c r="F99" s="3">
        <v>1</v>
      </c>
      <c r="G99" s="193">
        <v>1</v>
      </c>
      <c r="H99" s="270" t="s">
        <v>171</v>
      </c>
      <c r="I99" s="192">
        <v>0</v>
      </c>
      <c r="J99" s="3">
        <v>1</v>
      </c>
      <c r="K99" s="3">
        <v>0</v>
      </c>
      <c r="L99" s="3">
        <v>0</v>
      </c>
      <c r="M99" s="3">
        <v>1</v>
      </c>
      <c r="N99" s="3">
        <v>1</v>
      </c>
      <c r="O99" s="193">
        <v>1</v>
      </c>
      <c r="P99" s="269" t="s">
        <v>170</v>
      </c>
      <c r="Q99" s="192">
        <f t="shared" si="16"/>
        <v>0</v>
      </c>
      <c r="R99" s="3">
        <f t="shared" si="17"/>
        <v>1</v>
      </c>
      <c r="S99" s="3">
        <f t="shared" si="18"/>
        <v>1</v>
      </c>
      <c r="T99" s="3">
        <f t="shared" si="19"/>
        <v>1</v>
      </c>
      <c r="U99" s="3">
        <f t="shared" si="20"/>
        <v>2</v>
      </c>
      <c r="V99" s="3">
        <f t="shared" si="21"/>
        <v>3</v>
      </c>
      <c r="W99" s="193">
        <f t="shared" si="22"/>
        <v>2</v>
      </c>
      <c r="X99" s="269" t="s">
        <v>170</v>
      </c>
      <c r="Y99" s="192">
        <f t="shared" si="24"/>
        <v>0</v>
      </c>
      <c r="Z99" s="3">
        <f t="shared" si="23"/>
        <v>1</v>
      </c>
      <c r="AA99" s="3">
        <f t="shared" si="23"/>
        <v>1</v>
      </c>
      <c r="AB99" s="3">
        <f t="shared" si="23"/>
        <v>1</v>
      </c>
      <c r="AC99" s="3">
        <f t="shared" si="23"/>
        <v>0</v>
      </c>
      <c r="AD99" s="3">
        <f t="shared" si="23"/>
        <v>1</v>
      </c>
      <c r="AE99" s="193">
        <f t="shared" si="23"/>
        <v>0</v>
      </c>
      <c r="AG99" s="194" t="str">
        <f t="shared" si="25"/>
        <v>0111010</v>
      </c>
      <c r="AI99" s="117" t="s">
        <v>101</v>
      </c>
      <c r="AJ99" s="117" t="str">
        <f t="shared" si="26"/>
        <v>31</v>
      </c>
      <c r="AK99" s="117" t="str">
        <f t="shared" si="27"/>
        <v>6</v>
      </c>
      <c r="AL99" s="117" t="str">
        <f t="shared" si="28"/>
        <v>000B161D272C31</v>
      </c>
    </row>
    <row r="100" spans="3:38" x14ac:dyDescent="0.35">
      <c r="C100" s="269"/>
      <c r="D100" s="192">
        <v>1</v>
      </c>
      <c r="E100" s="3">
        <v>1</v>
      </c>
      <c r="F100" s="3">
        <v>0</v>
      </c>
      <c r="G100" s="193">
        <v>0</v>
      </c>
      <c r="H100" s="270"/>
      <c r="I100" s="192">
        <v>0</v>
      </c>
      <c r="J100" s="3">
        <v>0</v>
      </c>
      <c r="K100" s="3">
        <v>1</v>
      </c>
      <c r="L100" s="3">
        <v>0</v>
      </c>
      <c r="M100" s="3">
        <v>1</v>
      </c>
      <c r="N100" s="3">
        <v>1</v>
      </c>
      <c r="O100" s="193">
        <v>0</v>
      </c>
      <c r="P100" s="269"/>
      <c r="Q100" s="192">
        <f t="shared" si="16"/>
        <v>1</v>
      </c>
      <c r="R100" s="3">
        <f t="shared" si="17"/>
        <v>1</v>
      </c>
      <c r="S100" s="3">
        <f t="shared" si="18"/>
        <v>1</v>
      </c>
      <c r="T100" s="3">
        <f t="shared" si="19"/>
        <v>1</v>
      </c>
      <c r="U100" s="3">
        <f t="shared" si="20"/>
        <v>3</v>
      </c>
      <c r="V100" s="3">
        <f t="shared" si="21"/>
        <v>3</v>
      </c>
      <c r="W100" s="193">
        <f t="shared" si="22"/>
        <v>3</v>
      </c>
      <c r="X100" s="269"/>
      <c r="Y100" s="192">
        <f t="shared" si="24"/>
        <v>1</v>
      </c>
      <c r="Z100" s="3">
        <f t="shared" si="23"/>
        <v>1</v>
      </c>
      <c r="AA100" s="3">
        <f t="shared" si="23"/>
        <v>1</v>
      </c>
      <c r="AB100" s="3">
        <f t="shared" si="23"/>
        <v>1</v>
      </c>
      <c r="AC100" s="3">
        <f t="shared" si="23"/>
        <v>1</v>
      </c>
      <c r="AD100" s="3">
        <f t="shared" si="23"/>
        <v>1</v>
      </c>
      <c r="AE100" s="193">
        <f t="shared" si="23"/>
        <v>1</v>
      </c>
      <c r="AF100" s="269" t="s">
        <v>170</v>
      </c>
      <c r="AG100" s="194" t="str">
        <f t="shared" si="25"/>
        <v>1111111</v>
      </c>
      <c r="AH100" s="269" t="s">
        <v>170</v>
      </c>
      <c r="AI100" s="117" t="s">
        <v>83</v>
      </c>
      <c r="AJ100" s="117" t="str">
        <f t="shared" si="26"/>
        <v>3A</v>
      </c>
      <c r="AK100" s="117" t="str">
        <f t="shared" si="27"/>
        <v>7</v>
      </c>
      <c r="AL100" s="117" t="str">
        <f t="shared" si="28"/>
        <v>000B161D272C313A</v>
      </c>
    </row>
    <row r="101" spans="3:38" x14ac:dyDescent="0.35">
      <c r="D101" s="192">
        <v>1</v>
      </c>
      <c r="E101" s="3">
        <v>1</v>
      </c>
      <c r="F101" s="3">
        <v>0</v>
      </c>
      <c r="G101" s="193">
        <v>0</v>
      </c>
      <c r="I101" s="192">
        <v>0</v>
      </c>
      <c r="J101" s="3">
        <v>0</v>
      </c>
      <c r="K101" s="3">
        <v>0</v>
      </c>
      <c r="L101" s="3">
        <v>1</v>
      </c>
      <c r="M101" s="3">
        <v>0</v>
      </c>
      <c r="N101" s="3">
        <v>1</v>
      </c>
      <c r="O101" s="193">
        <v>1</v>
      </c>
      <c r="Q101" s="192">
        <f t="shared" si="16"/>
        <v>1</v>
      </c>
      <c r="R101" s="3">
        <f t="shared" si="17"/>
        <v>1</v>
      </c>
      <c r="S101" s="3">
        <f t="shared" si="18"/>
        <v>0</v>
      </c>
      <c r="T101" s="3">
        <f t="shared" si="19"/>
        <v>0</v>
      </c>
      <c r="U101" s="3">
        <f t="shared" si="20"/>
        <v>2</v>
      </c>
      <c r="V101" s="3">
        <f t="shared" si="21"/>
        <v>1</v>
      </c>
      <c r="W101" s="193">
        <f t="shared" si="22"/>
        <v>2</v>
      </c>
      <c r="Y101" s="192">
        <f t="shared" si="24"/>
        <v>1</v>
      </c>
      <c r="Z101" s="3">
        <f t="shared" si="23"/>
        <v>1</v>
      </c>
      <c r="AA101" s="3">
        <f t="shared" si="23"/>
        <v>0</v>
      </c>
      <c r="AB101" s="3">
        <f t="shared" si="23"/>
        <v>0</v>
      </c>
      <c r="AC101" s="3">
        <f t="shared" si="23"/>
        <v>0</v>
      </c>
      <c r="AD101" s="3">
        <f t="shared" si="23"/>
        <v>1</v>
      </c>
      <c r="AE101" s="193">
        <f t="shared" si="23"/>
        <v>0</v>
      </c>
      <c r="AF101" s="269"/>
      <c r="AG101" s="194" t="str">
        <f t="shared" si="25"/>
        <v>1100010</v>
      </c>
      <c r="AH101" s="269"/>
      <c r="AI101" s="117" t="s">
        <v>103</v>
      </c>
      <c r="AJ101" s="117" t="str">
        <f t="shared" si="26"/>
        <v>45</v>
      </c>
      <c r="AK101" s="117" t="str">
        <f t="shared" si="27"/>
        <v>8</v>
      </c>
      <c r="AL101" s="117" t="str">
        <f t="shared" si="28"/>
        <v>000B161D272C313A45</v>
      </c>
    </row>
    <row r="102" spans="3:38" x14ac:dyDescent="0.35">
      <c r="D102" s="192">
        <v>1</v>
      </c>
      <c r="E102" s="3">
        <v>0</v>
      </c>
      <c r="F102" s="3">
        <v>1</v>
      </c>
      <c r="G102" s="193">
        <v>0</v>
      </c>
      <c r="Q102" s="192">
        <f t="shared" si="16"/>
        <v>1</v>
      </c>
      <c r="R102" s="3">
        <f t="shared" si="17"/>
        <v>1</v>
      </c>
      <c r="S102" s="3">
        <f t="shared" si="18"/>
        <v>0</v>
      </c>
      <c r="T102" s="3">
        <f t="shared" si="19"/>
        <v>0</v>
      </c>
      <c r="U102" s="3">
        <f t="shared" si="20"/>
        <v>2</v>
      </c>
      <c r="V102" s="3">
        <f t="shared" si="21"/>
        <v>1</v>
      </c>
      <c r="W102" s="193">
        <f t="shared" si="22"/>
        <v>2</v>
      </c>
      <c r="Y102" s="192">
        <f t="shared" si="24"/>
        <v>1</v>
      </c>
      <c r="Z102" s="3">
        <f t="shared" si="23"/>
        <v>1</v>
      </c>
      <c r="AA102" s="3">
        <f t="shared" si="23"/>
        <v>0</v>
      </c>
      <c r="AB102" s="3">
        <f t="shared" si="23"/>
        <v>0</v>
      </c>
      <c r="AC102" s="3">
        <f t="shared" si="23"/>
        <v>0</v>
      </c>
      <c r="AD102" s="3">
        <f t="shared" si="23"/>
        <v>1</v>
      </c>
      <c r="AE102" s="193">
        <f t="shared" si="23"/>
        <v>0</v>
      </c>
      <c r="AG102" s="194" t="str">
        <f t="shared" si="25"/>
        <v>1100010</v>
      </c>
      <c r="AI102" s="117" t="s">
        <v>105</v>
      </c>
      <c r="AJ102" s="117" t="str">
        <f t="shared" si="26"/>
        <v>4E</v>
      </c>
      <c r="AK102" s="117" t="str">
        <f t="shared" si="27"/>
        <v>9</v>
      </c>
      <c r="AL102" s="117" t="str">
        <f t="shared" si="28"/>
        <v>000B161D272C313A454E</v>
      </c>
    </row>
    <row r="103" spans="3:38" x14ac:dyDescent="0.35">
      <c r="D103" s="192">
        <v>1</v>
      </c>
      <c r="E103" s="3">
        <v>0</v>
      </c>
      <c r="F103" s="3">
        <v>1</v>
      </c>
      <c r="G103" s="193">
        <v>1</v>
      </c>
      <c r="Q103" s="192">
        <f t="shared" si="16"/>
        <v>1</v>
      </c>
      <c r="R103" s="3">
        <f t="shared" si="17"/>
        <v>0</v>
      </c>
      <c r="S103" s="3">
        <f t="shared" si="18"/>
        <v>1</v>
      </c>
      <c r="T103" s="3">
        <f t="shared" si="19"/>
        <v>0</v>
      </c>
      <c r="U103" s="3">
        <f t="shared" si="20"/>
        <v>2</v>
      </c>
      <c r="V103" s="3">
        <f t="shared" si="21"/>
        <v>1</v>
      </c>
      <c r="W103" s="193">
        <f t="shared" si="22"/>
        <v>1</v>
      </c>
      <c r="Y103" s="192">
        <f t="shared" si="24"/>
        <v>1</v>
      </c>
      <c r="Z103" s="3">
        <f t="shared" si="23"/>
        <v>0</v>
      </c>
      <c r="AA103" s="3">
        <f t="shared" si="23"/>
        <v>1</v>
      </c>
      <c r="AB103" s="3">
        <f t="shared" si="23"/>
        <v>0</v>
      </c>
      <c r="AC103" s="3">
        <f t="shared" si="23"/>
        <v>0</v>
      </c>
      <c r="AD103" s="3">
        <f t="shared" si="23"/>
        <v>1</v>
      </c>
      <c r="AE103" s="193">
        <f t="shared" si="23"/>
        <v>1</v>
      </c>
      <c r="AG103" s="194" t="str">
        <f t="shared" si="25"/>
        <v>1010011</v>
      </c>
      <c r="AI103" s="117" t="s">
        <v>107</v>
      </c>
      <c r="AJ103" s="117" t="str">
        <f t="shared" si="26"/>
        <v>53</v>
      </c>
      <c r="AK103" s="117" t="str">
        <f t="shared" si="27"/>
        <v>A</v>
      </c>
      <c r="AL103" s="117" t="str">
        <f t="shared" si="28"/>
        <v>000B161D272C313A454E53</v>
      </c>
    </row>
    <row r="104" spans="3:38" x14ac:dyDescent="0.35">
      <c r="D104" s="192">
        <v>0</v>
      </c>
      <c r="E104" s="3">
        <v>0</v>
      </c>
      <c r="F104" s="3">
        <v>0</v>
      </c>
      <c r="G104" s="193">
        <v>1</v>
      </c>
      <c r="Q104" s="192">
        <f t="shared" si="16"/>
        <v>1</v>
      </c>
      <c r="R104" s="3">
        <f t="shared" si="17"/>
        <v>0</v>
      </c>
      <c r="S104" s="3">
        <f t="shared" si="18"/>
        <v>1</v>
      </c>
      <c r="T104" s="3">
        <f t="shared" si="19"/>
        <v>1</v>
      </c>
      <c r="U104" s="3">
        <f t="shared" si="20"/>
        <v>2</v>
      </c>
      <c r="V104" s="3">
        <f t="shared" si="21"/>
        <v>2</v>
      </c>
      <c r="W104" s="193">
        <f t="shared" si="22"/>
        <v>2</v>
      </c>
      <c r="Y104" s="192">
        <f t="shared" si="24"/>
        <v>1</v>
      </c>
      <c r="Z104" s="3">
        <f t="shared" si="23"/>
        <v>0</v>
      </c>
      <c r="AA104" s="3">
        <f t="shared" si="23"/>
        <v>1</v>
      </c>
      <c r="AB104" s="3">
        <f t="shared" si="23"/>
        <v>1</v>
      </c>
      <c r="AC104" s="3">
        <f t="shared" si="23"/>
        <v>0</v>
      </c>
      <c r="AD104" s="3">
        <f t="shared" si="23"/>
        <v>0</v>
      </c>
      <c r="AE104" s="193">
        <f t="shared" si="23"/>
        <v>0</v>
      </c>
      <c r="AG104" s="194" t="str">
        <f t="shared" si="25"/>
        <v>1011000</v>
      </c>
      <c r="AI104" s="117" t="s">
        <v>89</v>
      </c>
      <c r="AJ104" s="117" t="str">
        <f t="shared" si="26"/>
        <v>58</v>
      </c>
      <c r="AK104" s="117" t="str">
        <f t="shared" si="27"/>
        <v>B</v>
      </c>
      <c r="AL104" s="117" t="str">
        <f t="shared" si="28"/>
        <v>000B161D272C313A454E5358</v>
      </c>
    </row>
    <row r="105" spans="3:38" x14ac:dyDescent="0.35">
      <c r="D105" s="192">
        <v>0</v>
      </c>
      <c r="E105" s="3">
        <v>0</v>
      </c>
      <c r="F105" s="3">
        <v>1</v>
      </c>
      <c r="G105" s="193">
        <v>0</v>
      </c>
      <c r="Q105" s="192">
        <f t="shared" si="16"/>
        <v>0</v>
      </c>
      <c r="R105" s="3">
        <f t="shared" si="17"/>
        <v>0</v>
      </c>
      <c r="S105" s="3">
        <f t="shared" si="18"/>
        <v>0</v>
      </c>
      <c r="T105" s="3">
        <f t="shared" si="19"/>
        <v>1</v>
      </c>
      <c r="U105" s="3">
        <f t="shared" si="20"/>
        <v>0</v>
      </c>
      <c r="V105" s="3">
        <f t="shared" si="21"/>
        <v>1</v>
      </c>
      <c r="W105" s="193">
        <f t="shared" si="22"/>
        <v>1</v>
      </c>
      <c r="Y105" s="192">
        <f t="shared" si="24"/>
        <v>0</v>
      </c>
      <c r="Z105" s="3">
        <f t="shared" si="23"/>
        <v>0</v>
      </c>
      <c r="AA105" s="3">
        <f t="shared" si="23"/>
        <v>0</v>
      </c>
      <c r="AB105" s="3">
        <f t="shared" si="23"/>
        <v>1</v>
      </c>
      <c r="AC105" s="3">
        <f t="shared" si="23"/>
        <v>0</v>
      </c>
      <c r="AD105" s="3">
        <f t="shared" si="23"/>
        <v>1</v>
      </c>
      <c r="AE105" s="193">
        <f t="shared" si="23"/>
        <v>1</v>
      </c>
      <c r="AG105" s="194" t="str">
        <f t="shared" si="25"/>
        <v>0001011</v>
      </c>
      <c r="AI105" s="117" t="s">
        <v>108</v>
      </c>
      <c r="AJ105" s="117" t="str">
        <f t="shared" si="26"/>
        <v>62</v>
      </c>
      <c r="AK105" s="117" t="str">
        <f t="shared" si="27"/>
        <v>C</v>
      </c>
      <c r="AL105" s="117" t="str">
        <f t="shared" si="28"/>
        <v>000B161D272C313A454E535862</v>
      </c>
    </row>
    <row r="106" spans="3:38" x14ac:dyDescent="0.35">
      <c r="D106" s="192">
        <v>0</v>
      </c>
      <c r="E106" s="3">
        <v>0</v>
      </c>
      <c r="F106" s="3">
        <v>1</v>
      </c>
      <c r="G106" s="193">
        <v>1</v>
      </c>
      <c r="Q106" s="192">
        <f t="shared" si="16"/>
        <v>0</v>
      </c>
      <c r="R106" s="3">
        <f t="shared" si="17"/>
        <v>0</v>
      </c>
      <c r="S106" s="3">
        <f t="shared" si="18"/>
        <v>1</v>
      </c>
      <c r="T106" s="3">
        <f t="shared" si="19"/>
        <v>0</v>
      </c>
      <c r="U106" s="3">
        <f t="shared" si="20"/>
        <v>1</v>
      </c>
      <c r="V106" s="3">
        <f t="shared" si="21"/>
        <v>1</v>
      </c>
      <c r="W106" s="193">
        <f t="shared" si="22"/>
        <v>0</v>
      </c>
      <c r="Y106" s="192">
        <f t="shared" si="24"/>
        <v>0</v>
      </c>
      <c r="Z106" s="3">
        <f t="shared" si="23"/>
        <v>0</v>
      </c>
      <c r="AA106" s="3">
        <f t="shared" si="23"/>
        <v>1</v>
      </c>
      <c r="AB106" s="3">
        <f t="shared" si="23"/>
        <v>0</v>
      </c>
      <c r="AC106" s="3">
        <f t="shared" si="23"/>
        <v>1</v>
      </c>
      <c r="AD106" s="3">
        <f t="shared" si="23"/>
        <v>1</v>
      </c>
      <c r="AE106" s="193">
        <f t="shared" si="23"/>
        <v>0</v>
      </c>
      <c r="AG106" s="194" t="str">
        <f t="shared" si="25"/>
        <v>0010110</v>
      </c>
      <c r="AI106" s="117" t="s">
        <v>39</v>
      </c>
      <c r="AJ106" s="117" t="str">
        <f t="shared" si="26"/>
        <v>69</v>
      </c>
      <c r="AK106" s="117" t="str">
        <f t="shared" si="27"/>
        <v>D</v>
      </c>
      <c r="AL106" s="117" t="str">
        <f t="shared" si="28"/>
        <v>000B161D272C313A454E53586269</v>
      </c>
    </row>
    <row r="107" spans="3:38" x14ac:dyDescent="0.35">
      <c r="D107" s="192">
        <v>0</v>
      </c>
      <c r="E107" s="3">
        <v>1</v>
      </c>
      <c r="F107" s="3">
        <v>0</v>
      </c>
      <c r="G107" s="193">
        <v>0</v>
      </c>
      <c r="Q107" s="192">
        <f t="shared" si="16"/>
        <v>0</v>
      </c>
      <c r="R107" s="3">
        <f t="shared" si="17"/>
        <v>0</v>
      </c>
      <c r="S107" s="3">
        <f t="shared" si="18"/>
        <v>1</v>
      </c>
      <c r="T107" s="3">
        <f t="shared" si="19"/>
        <v>1</v>
      </c>
      <c r="U107" s="3">
        <f t="shared" si="20"/>
        <v>1</v>
      </c>
      <c r="V107" s="3">
        <f t="shared" si="21"/>
        <v>2</v>
      </c>
      <c r="W107" s="193">
        <f t="shared" si="22"/>
        <v>1</v>
      </c>
      <c r="Y107" s="192">
        <f t="shared" si="24"/>
        <v>0</v>
      </c>
      <c r="Z107" s="3">
        <f t="shared" si="23"/>
        <v>0</v>
      </c>
      <c r="AA107" s="3">
        <f t="shared" si="23"/>
        <v>1</v>
      </c>
      <c r="AB107" s="3">
        <f t="shared" si="23"/>
        <v>1</v>
      </c>
      <c r="AC107" s="3">
        <f t="shared" si="23"/>
        <v>1</v>
      </c>
      <c r="AD107" s="3">
        <f t="shared" si="23"/>
        <v>0</v>
      </c>
      <c r="AE107" s="193">
        <f t="shared" si="23"/>
        <v>1</v>
      </c>
      <c r="AG107" s="194" t="str">
        <f t="shared" si="25"/>
        <v>0011101</v>
      </c>
      <c r="AI107" s="117" t="s">
        <v>37</v>
      </c>
      <c r="AJ107" s="117" t="str">
        <f t="shared" si="26"/>
        <v>74</v>
      </c>
      <c r="AK107" s="117" t="str">
        <f t="shared" si="27"/>
        <v>E</v>
      </c>
      <c r="AL107" s="117" t="str">
        <f t="shared" si="28"/>
        <v>000B161D272C313A454E5358626974</v>
      </c>
    </row>
    <row r="108" spans="3:38" x14ac:dyDescent="0.35">
      <c r="Q108" s="192">
        <f t="shared" si="16"/>
        <v>0</v>
      </c>
      <c r="R108" s="3">
        <f t="shared" si="17"/>
        <v>1</v>
      </c>
      <c r="S108" s="3">
        <f t="shared" si="18"/>
        <v>0</v>
      </c>
      <c r="T108" s="3">
        <f t="shared" si="19"/>
        <v>0</v>
      </c>
      <c r="U108" s="3">
        <f t="shared" si="20"/>
        <v>1</v>
      </c>
      <c r="V108" s="3">
        <f t="shared" si="21"/>
        <v>1</v>
      </c>
      <c r="W108" s="193">
        <f t="shared" si="22"/>
        <v>1</v>
      </c>
      <c r="Y108" s="192">
        <f t="shared" si="24"/>
        <v>0</v>
      </c>
      <c r="Z108" s="3">
        <f t="shared" si="23"/>
        <v>1</v>
      </c>
      <c r="AA108" s="3">
        <f t="shared" si="23"/>
        <v>0</v>
      </c>
      <c r="AB108" s="3">
        <f t="shared" si="23"/>
        <v>0</v>
      </c>
      <c r="AC108" s="3">
        <f t="shared" si="23"/>
        <v>1</v>
      </c>
      <c r="AD108" s="3">
        <f t="shared" si="23"/>
        <v>1</v>
      </c>
      <c r="AE108" s="193">
        <f t="shared" si="23"/>
        <v>1</v>
      </c>
      <c r="AG108" s="194" t="str">
        <f t="shared" si="25"/>
        <v>0100111</v>
      </c>
      <c r="AI108" s="117" t="s">
        <v>88</v>
      </c>
      <c r="AJ108" s="117" t="str">
        <f t="shared" si="26"/>
        <v>7F</v>
      </c>
      <c r="AK108" s="117" t="str">
        <f t="shared" si="27"/>
        <v>F</v>
      </c>
      <c r="AL108" s="117" t="str">
        <f t="shared" si="28"/>
        <v>000B161D272C313A454E53586269747F</v>
      </c>
    </row>
  </sheetData>
  <mergeCells count="58">
    <mergeCell ref="J2:M2"/>
    <mergeCell ref="N2:P2"/>
    <mergeCell ref="A3:A4"/>
    <mergeCell ref="I3:I4"/>
    <mergeCell ref="J3:M3"/>
    <mergeCell ref="N3:P3"/>
    <mergeCell ref="J4:M4"/>
    <mergeCell ref="N4:P4"/>
    <mergeCell ref="D75:E75"/>
    <mergeCell ref="A25:P25"/>
    <mergeCell ref="J5:M5"/>
    <mergeCell ref="N5:P5"/>
    <mergeCell ref="Y6:AE6"/>
    <mergeCell ref="D7:G7"/>
    <mergeCell ref="A15:A16"/>
    <mergeCell ref="C15:C16"/>
    <mergeCell ref="H15:H16"/>
    <mergeCell ref="P15:P16"/>
    <mergeCell ref="X15:X16"/>
    <mergeCell ref="AF15:AF16"/>
    <mergeCell ref="AH15:AH16"/>
    <mergeCell ref="G72:J72"/>
    <mergeCell ref="D73:E73"/>
    <mergeCell ref="D74:E74"/>
    <mergeCell ref="D76:E76"/>
    <mergeCell ref="D77:E77"/>
    <mergeCell ref="D78:E78"/>
    <mergeCell ref="D79:E79"/>
    <mergeCell ref="A80:A81"/>
    <mergeCell ref="C80:C81"/>
    <mergeCell ref="D80:E80"/>
    <mergeCell ref="Y91:AE91"/>
    <mergeCell ref="F80:F81"/>
    <mergeCell ref="K80:K81"/>
    <mergeCell ref="S80:S81"/>
    <mergeCell ref="D81:E81"/>
    <mergeCell ref="D82:E82"/>
    <mergeCell ref="D83:E83"/>
    <mergeCell ref="D84:E84"/>
    <mergeCell ref="D85:E85"/>
    <mergeCell ref="D86:E86"/>
    <mergeCell ref="D87:E87"/>
    <mergeCell ref="D88:E88"/>
    <mergeCell ref="AV92:AY92"/>
    <mergeCell ref="AN93:AO94"/>
    <mergeCell ref="AP93:AQ94"/>
    <mergeCell ref="AS93:AU94"/>
    <mergeCell ref="AV93:AY94"/>
    <mergeCell ref="AH100:AH101"/>
    <mergeCell ref="AK92:AL92"/>
    <mergeCell ref="AN92:AO92"/>
    <mergeCell ref="AP92:AQ92"/>
    <mergeCell ref="AS92:AU92"/>
    <mergeCell ref="C99:C100"/>
    <mergeCell ref="H99:H100"/>
    <mergeCell ref="P99:P100"/>
    <mergeCell ref="X99:X100"/>
    <mergeCell ref="AF100:AF101"/>
  </mergeCells>
  <conditionalFormatting sqref="Q8:W23">
    <cfRule type="cellIs" dxfId="3" priority="3" operator="equal">
      <formula>3</formula>
    </cfRule>
    <cfRule type="cellIs" dxfId="2" priority="4" operator="equal">
      <formula>2</formula>
    </cfRule>
  </conditionalFormatting>
  <conditionalFormatting sqref="S27:AH4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:AE23">
    <cfRule type="cellIs" dxfId="1" priority="1" operator="equal">
      <formula>3</formula>
    </cfRule>
    <cfRule type="cellIs" dxfId="0" priority="2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Лист2</vt:lpstr>
      <vt:lpstr>1. Метод деления полиномов</vt:lpstr>
      <vt:lpstr>2.1 Сложение</vt:lpstr>
      <vt:lpstr>2.2 Умножение</vt:lpstr>
      <vt:lpstr>3. Матричный метод</vt:lpstr>
      <vt:lpstr>полином</vt:lpstr>
      <vt:lpstr>табл2</vt:lpstr>
      <vt:lpstr>ЦК_бин_таблица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Кузнецов</dc:creator>
  <cp:lastModifiedBy>Алексей Кузнецов</cp:lastModifiedBy>
  <dcterms:created xsi:type="dcterms:W3CDTF">2015-06-05T18:19:34Z</dcterms:created>
  <dcterms:modified xsi:type="dcterms:W3CDTF">2025-05-21T08:51:46Z</dcterms:modified>
</cp:coreProperties>
</file>