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D\ИМЗИвАС\"/>
    </mc:Choice>
  </mc:AlternateContent>
  <xr:revisionPtr revIDLastSave="0" documentId="13_ncr:1_{A31C1953-155D-4F5A-962E-E3BEE5BC3FDE}" xr6:coauthVersionLast="47" xr6:coauthVersionMax="47" xr10:uidLastSave="{00000000-0000-0000-0000-000000000000}"/>
  <bookViews>
    <workbookView xWindow="-108" yWindow="-108" windowWidth="23256" windowHeight="12576" activeTab="5" xr2:uid="{FD832C45-3C49-46D9-89E7-6F819CBF9AFC}"/>
  </bookViews>
  <sheets>
    <sheet name="4" sheetId="1" r:id="rId1"/>
    <sheet name="5" sheetId="2" r:id="rId2"/>
    <sheet name="6" sheetId="3" r:id="rId3"/>
    <sheet name="7" sheetId="4" r:id="rId4"/>
    <sheet name="8" sheetId="5" r:id="rId5"/>
    <sheet name="9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" i="5" l="1" a="1"/>
  <c r="C36" i="5" a="1"/>
  <c r="D36" i="5" a="1"/>
  <c r="E36" i="5" a="1"/>
  <c r="F36" i="5" a="1"/>
  <c r="G36" i="5" a="1"/>
  <c r="H36" i="5" a="1"/>
  <c r="I36" i="5" a="1"/>
  <c r="J36" i="5" a="1"/>
  <c r="K36" i="5" a="1"/>
  <c r="L36" i="5" a="1"/>
  <c r="M36" i="5" a="1"/>
  <c r="N36" i="5" a="1"/>
  <c r="O36" i="5" a="1"/>
  <c r="P36" i="5" a="1"/>
  <c r="Q36" i="5" a="1"/>
  <c r="B37" i="5" a="1"/>
  <c r="C37" i="5" a="1"/>
  <c r="D37" i="5" a="1"/>
  <c r="E37" i="5" a="1"/>
  <c r="F37" i="5" a="1"/>
  <c r="G37" i="5" a="1"/>
  <c r="H37" i="5" a="1"/>
  <c r="I37" i="5" a="1"/>
  <c r="J37" i="5" a="1"/>
  <c r="K37" i="5" a="1"/>
  <c r="L37" i="5" a="1"/>
  <c r="M37" i="5" a="1"/>
  <c r="N37" i="5" a="1"/>
  <c r="O37" i="5" a="1"/>
  <c r="P37" i="5" a="1"/>
  <c r="Q37" i="5" a="1"/>
  <c r="B38" i="5" a="1"/>
  <c r="C38" i="5" a="1"/>
  <c r="D38" i="5" a="1"/>
  <c r="E38" i="5" a="1"/>
  <c r="F38" i="5" a="1"/>
  <c r="G38" i="5" a="1"/>
  <c r="H38" i="5" a="1"/>
  <c r="I38" i="5" a="1"/>
  <c r="J38" i="5" a="1"/>
  <c r="K38" i="5" a="1"/>
  <c r="L38" i="5" a="1"/>
  <c r="M38" i="5" a="1"/>
  <c r="N38" i="5" a="1"/>
  <c r="O38" i="5" a="1"/>
  <c r="P38" i="5" a="1"/>
  <c r="Q38" i="5" a="1"/>
  <c r="B39" i="5" a="1"/>
  <c r="C39" i="5" a="1"/>
  <c r="D39" i="5" a="1"/>
  <c r="E39" i="5" a="1"/>
  <c r="F39" i="5" a="1"/>
  <c r="G39" i="5" a="1"/>
  <c r="H39" i="5" a="1"/>
  <c r="I39" i="5" a="1"/>
  <c r="J39" i="5" a="1"/>
  <c r="K39" i="5" a="1"/>
  <c r="L39" i="5" a="1"/>
  <c r="M39" i="5" a="1"/>
  <c r="N39" i="5" a="1"/>
  <c r="O39" i="5" a="1"/>
  <c r="P39" i="5" a="1"/>
  <c r="Q39" i="5" a="1"/>
  <c r="B40" i="5" a="1"/>
  <c r="C40" i="5" a="1"/>
  <c r="D40" i="5" a="1"/>
  <c r="E40" i="5" a="1"/>
  <c r="F40" i="5" a="1"/>
  <c r="G40" i="5" a="1"/>
  <c r="H40" i="5" a="1"/>
  <c r="I40" i="5" a="1"/>
  <c r="J40" i="5" a="1"/>
  <c r="K40" i="5" a="1"/>
  <c r="L40" i="5" a="1"/>
  <c r="M40" i="5" a="1"/>
  <c r="N40" i="5" a="1"/>
  <c r="O40" i="5" a="1"/>
  <c r="P40" i="5" a="1"/>
  <c r="Q40" i="5" a="1"/>
  <c r="B41" i="5" a="1"/>
  <c r="C41" i="5" a="1"/>
  <c r="D41" i="5" a="1"/>
  <c r="E41" i="5" a="1"/>
  <c r="F41" i="5" a="1"/>
  <c r="G41" i="5" a="1"/>
  <c r="H41" i="5" a="1"/>
  <c r="I41" i="5" a="1"/>
  <c r="J41" i="5" a="1"/>
  <c r="K41" i="5" a="1"/>
  <c r="L41" i="5" a="1"/>
  <c r="M41" i="5" a="1"/>
  <c r="N41" i="5" a="1"/>
  <c r="O41" i="5" a="1"/>
  <c r="P41" i="5" a="1"/>
  <c r="Q41" i="5" a="1"/>
  <c r="B42" i="5" a="1"/>
  <c r="C42" i="5" a="1"/>
  <c r="D42" i="5" a="1"/>
  <c r="E42" i="5" a="1"/>
  <c r="F42" i="5" a="1"/>
  <c r="G42" i="5" a="1"/>
  <c r="H42" i="5" a="1"/>
  <c r="I42" i="5" a="1"/>
  <c r="J42" i="5" a="1"/>
  <c r="K42" i="5" a="1"/>
  <c r="L42" i="5" a="1"/>
  <c r="M42" i="5" a="1"/>
  <c r="N42" i="5" a="1"/>
  <c r="O42" i="5" a="1"/>
  <c r="P42" i="5" a="1"/>
  <c r="Q42" i="5" a="1"/>
  <c r="B43" i="5" a="1"/>
  <c r="C43" i="5" a="1"/>
  <c r="D43" i="5" a="1"/>
  <c r="E43" i="5" a="1"/>
  <c r="F43" i="5" a="1"/>
  <c r="G43" i="5" a="1"/>
  <c r="H43" i="5" a="1"/>
  <c r="I43" i="5" a="1"/>
  <c r="J43" i="5" a="1"/>
  <c r="K43" i="5" a="1"/>
  <c r="L43" i="5" a="1"/>
  <c r="M43" i="5" a="1"/>
  <c r="N43" i="5" a="1"/>
  <c r="O43" i="5" a="1"/>
  <c r="P43" i="5" a="1"/>
  <c r="Q43" i="5" a="1"/>
  <c r="B44" i="5" a="1"/>
  <c r="C44" i="5" a="1"/>
  <c r="D44" i="5" a="1"/>
  <c r="E44" i="5" a="1"/>
  <c r="F44" i="5" a="1"/>
  <c r="G44" i="5" a="1"/>
  <c r="H44" i="5" a="1"/>
  <c r="I44" i="5" a="1"/>
  <c r="J44" i="5" a="1"/>
  <c r="K44" i="5" a="1"/>
  <c r="L44" i="5" a="1"/>
  <c r="M44" i="5" a="1"/>
  <c r="N44" i="5" a="1"/>
  <c r="O44" i="5" a="1"/>
  <c r="P44" i="5" a="1"/>
  <c r="Q44" i="5" a="1"/>
  <c r="B45" i="5" a="1"/>
  <c r="C45" i="5" a="1"/>
  <c r="D45" i="5" a="1"/>
  <c r="E45" i="5" a="1"/>
  <c r="F45" i="5" a="1"/>
  <c r="G45" i="5" a="1"/>
  <c r="H45" i="5" a="1"/>
  <c r="I45" i="5" a="1"/>
  <c r="J45" i="5" a="1"/>
  <c r="K45" i="5" a="1"/>
  <c r="L45" i="5" a="1"/>
  <c r="M45" i="5" a="1"/>
  <c r="N45" i="5" a="1"/>
  <c r="O45" i="5" a="1"/>
  <c r="P45" i="5" a="1"/>
  <c r="Q45" i="5" a="1"/>
  <c r="B46" i="5" a="1"/>
  <c r="C46" i="5" a="1"/>
  <c r="D46" i="5" a="1"/>
  <c r="E46" i="5" a="1"/>
  <c r="F46" i="5" a="1"/>
  <c r="G46" i="5" a="1"/>
  <c r="H46" i="5" a="1"/>
  <c r="I46" i="5" a="1"/>
  <c r="J46" i="5" a="1"/>
  <c r="K46" i="5" a="1"/>
  <c r="L46" i="5" a="1"/>
  <c r="M46" i="5" a="1"/>
  <c r="N46" i="5" a="1"/>
  <c r="O46" i="5" a="1"/>
  <c r="P46" i="5" a="1"/>
  <c r="Q46" i="5" a="1"/>
  <c r="B47" i="5" a="1"/>
  <c r="C47" i="5" a="1"/>
  <c r="D47" i="5" a="1"/>
  <c r="E47" i="5" a="1"/>
  <c r="F47" i="5" a="1"/>
  <c r="G47" i="5" a="1"/>
  <c r="H47" i="5" a="1"/>
  <c r="I47" i="5" a="1"/>
  <c r="J47" i="5" a="1"/>
  <c r="K47" i="5" a="1"/>
  <c r="L47" i="5" a="1"/>
  <c r="M47" i="5" a="1"/>
  <c r="N47" i="5" a="1"/>
  <c r="O47" i="5" a="1"/>
  <c r="P47" i="5" a="1"/>
  <c r="Q47" i="5" a="1"/>
  <c r="B48" i="5" a="1"/>
  <c r="C48" i="5" a="1"/>
  <c r="D48" i="5" a="1"/>
  <c r="E48" i="5" a="1"/>
  <c r="F48" i="5" a="1"/>
  <c r="G48" i="5" a="1"/>
  <c r="H48" i="5" a="1"/>
  <c r="I48" i="5" a="1"/>
  <c r="J48" i="5" a="1"/>
  <c r="K48" i="5" a="1"/>
  <c r="L48" i="5" a="1"/>
  <c r="M48" i="5" a="1"/>
  <c r="N48" i="5" a="1"/>
  <c r="O48" i="5" a="1"/>
  <c r="P48" i="5" a="1"/>
  <c r="Q48" i="5" a="1"/>
  <c r="B49" i="5" a="1"/>
  <c r="C49" i="5" a="1"/>
  <c r="D49" i="5" a="1"/>
  <c r="E49" i="5" a="1"/>
  <c r="F49" i="5" a="1"/>
  <c r="G49" i="5" a="1"/>
  <c r="H49" i="5" a="1"/>
  <c r="I49" i="5" a="1"/>
  <c r="J49" i="5" a="1"/>
  <c r="K49" i="5" a="1"/>
  <c r="L49" i="5" a="1"/>
  <c r="M49" i="5" a="1"/>
  <c r="N49" i="5" a="1"/>
  <c r="O49" i="5" a="1"/>
  <c r="P49" i="5" a="1"/>
  <c r="Q49" i="5" a="1"/>
  <c r="B50" i="5" a="1"/>
  <c r="C50" i="5" a="1"/>
  <c r="D50" i="5" a="1"/>
  <c r="E50" i="5" a="1"/>
  <c r="F50" i="5" a="1"/>
  <c r="G50" i="5" a="1"/>
  <c r="H50" i="5" a="1"/>
  <c r="I50" i="5" a="1"/>
  <c r="J50" i="5" a="1"/>
  <c r="K50" i="5" a="1"/>
  <c r="L50" i="5" a="1"/>
  <c r="M50" i="5" a="1"/>
  <c r="N50" i="5" a="1"/>
  <c r="O50" i="5" a="1"/>
  <c r="P50" i="5" a="1"/>
  <c r="Q50" i="5" a="1"/>
  <c r="D71" i="5"/>
  <c r="C71" i="5"/>
  <c r="C58" i="5"/>
  <c r="D58" i="5"/>
  <c r="C59" i="5" s="1"/>
  <c r="N56" i="5"/>
  <c r="O56" i="5"/>
  <c r="L56" i="5"/>
  <c r="M56" i="5"/>
  <c r="H56" i="5"/>
  <c r="D54" i="5"/>
  <c r="D55" i="5" s="1"/>
  <c r="Q51" i="5" a="1"/>
  <c r="P51" i="5" a="1"/>
  <c r="O51" i="5" a="1"/>
  <c r="N51" i="5" a="1"/>
  <c r="M51" i="5" a="1"/>
  <c r="L51" i="5" a="1"/>
  <c r="K51" i="5" a="1"/>
  <c r="J51" i="5" a="1"/>
  <c r="I51" i="5" a="1"/>
  <c r="H51" i="5" a="1"/>
  <c r="G51" i="5" a="1"/>
  <c r="F51" i="5" a="1"/>
  <c r="E51" i="5" a="1"/>
  <c r="D51" i="5" a="1"/>
  <c r="C51" i="5" a="1"/>
  <c r="B51" i="5" a="1"/>
  <c r="F31" i="5"/>
  <c r="C23" i="5"/>
  <c r="C24" i="5"/>
  <c r="C25" i="5"/>
  <c r="C26" i="5"/>
  <c r="C27" i="5"/>
  <c r="C28" i="5"/>
  <c r="C29" i="5"/>
  <c r="C22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4" i="5"/>
  <c r="E72" i="4"/>
  <c r="D72" i="4"/>
  <c r="C72" i="4"/>
  <c r="B72" i="4"/>
  <c r="E71" i="4"/>
  <c r="D71" i="4"/>
  <c r="C71" i="4"/>
  <c r="B71" i="4"/>
  <c r="E70" i="4"/>
  <c r="D70" i="4"/>
  <c r="C70" i="4"/>
  <c r="B70" i="4"/>
  <c r="E69" i="4"/>
  <c r="D69" i="4"/>
  <c r="C69" i="4"/>
  <c r="B69" i="4"/>
  <c r="E68" i="4"/>
  <c r="D68" i="4"/>
  <c r="C68" i="4"/>
  <c r="B68" i="4"/>
  <c r="E67" i="4"/>
  <c r="D67" i="4"/>
  <c r="C67" i="4"/>
  <c r="B67" i="4"/>
  <c r="E66" i="4"/>
  <c r="D66" i="4"/>
  <c r="C66" i="4"/>
  <c r="B66" i="4"/>
  <c r="E65" i="4"/>
  <c r="D65" i="4"/>
  <c r="C65" i="4"/>
  <c r="B65" i="4"/>
  <c r="E64" i="4"/>
  <c r="D64" i="4"/>
  <c r="C64" i="4"/>
  <c r="B64" i="4"/>
  <c r="E63" i="4"/>
  <c r="D63" i="4"/>
  <c r="C63" i="4"/>
  <c r="B63" i="4"/>
  <c r="E62" i="4"/>
  <c r="D62" i="4"/>
  <c r="C62" i="4"/>
  <c r="B62" i="4"/>
  <c r="E61" i="4"/>
  <c r="D61" i="4"/>
  <c r="C61" i="4"/>
  <c r="B61" i="4"/>
  <c r="E60" i="4"/>
  <c r="D60" i="4"/>
  <c r="C60" i="4"/>
  <c r="B60" i="4"/>
  <c r="E59" i="4"/>
  <c r="D59" i="4"/>
  <c r="C59" i="4"/>
  <c r="B59" i="4"/>
  <c r="E58" i="4"/>
  <c r="D58" i="4"/>
  <c r="C58" i="4"/>
  <c r="B58" i="4"/>
  <c r="E57" i="4"/>
  <c r="D57" i="4"/>
  <c r="C57" i="4"/>
  <c r="B57" i="4"/>
  <c r="AG6" i="4"/>
  <c r="AG5" i="4"/>
  <c r="AG4" i="4"/>
  <c r="AH4" i="4" s="1"/>
  <c r="AH58" i="4" s="1"/>
  <c r="AG3" i="4"/>
  <c r="V43" i="4"/>
  <c r="Y44" i="4" s="1"/>
  <c r="U43" i="4"/>
  <c r="X44" i="4" s="1"/>
  <c r="T43" i="4"/>
  <c r="S43" i="4"/>
  <c r="S44" i="4" s="1"/>
  <c r="E45" i="4"/>
  <c r="D45" i="4"/>
  <c r="C46" i="4" s="1"/>
  <c r="C45" i="4"/>
  <c r="A43" i="4"/>
  <c r="B49" i="4" s="1"/>
  <c r="V30" i="4"/>
  <c r="Y31" i="4" s="1"/>
  <c r="U30" i="4"/>
  <c r="X31" i="4" s="1"/>
  <c r="T30" i="4"/>
  <c r="W31" i="4" s="1"/>
  <c r="S30" i="4"/>
  <c r="E32" i="4"/>
  <c r="D33" i="4" s="1"/>
  <c r="C34" i="4" s="1"/>
  <c r="D32" i="4"/>
  <c r="C33" i="4" s="1"/>
  <c r="C32" i="4"/>
  <c r="A30" i="4"/>
  <c r="V17" i="4"/>
  <c r="Y18" i="4" s="1"/>
  <c r="U17" i="4"/>
  <c r="X18" i="4" s="1"/>
  <c r="T17" i="4"/>
  <c r="W18" i="4" s="1"/>
  <c r="S17" i="4"/>
  <c r="B25" i="4"/>
  <c r="B22" i="4"/>
  <c r="B20" i="4"/>
  <c r="F20" i="4" s="1"/>
  <c r="E19" i="4"/>
  <c r="D19" i="4"/>
  <c r="C19" i="4"/>
  <c r="A17" i="4"/>
  <c r="V4" i="4"/>
  <c r="Y5" i="4" s="1"/>
  <c r="U4" i="4"/>
  <c r="X5" i="4" s="1"/>
  <c r="T4" i="4"/>
  <c r="W5" i="4" s="1"/>
  <c r="S4" i="4"/>
  <c r="U5" i="4" s="1"/>
  <c r="E6" i="4"/>
  <c r="D6" i="4"/>
  <c r="D7" i="4" s="1"/>
  <c r="C8" i="4" s="1"/>
  <c r="C6" i="4"/>
  <c r="A4" i="4"/>
  <c r="P2" i="4"/>
  <c r="D68" i="5" l="1"/>
  <c r="B59" i="5"/>
  <c r="F59" i="5" s="1"/>
  <c r="B61" i="5"/>
  <c r="B63" i="5"/>
  <c r="B58" i="5"/>
  <c r="F58" i="5" s="1"/>
  <c r="E59" i="5" s="1"/>
  <c r="B60" i="5"/>
  <c r="B62" i="5"/>
  <c r="B57" i="5"/>
  <c r="F57" i="5" s="1"/>
  <c r="E58" i="5" s="1"/>
  <c r="D59" i="5" s="1"/>
  <c r="C72" i="5"/>
  <c r="U44" i="4"/>
  <c r="AH6" i="4"/>
  <c r="AI6" i="4"/>
  <c r="AI56" i="4" s="1"/>
  <c r="AJ5" i="4"/>
  <c r="AJ57" i="4" s="1"/>
  <c r="AH5" i="4"/>
  <c r="AH57" i="4" s="1"/>
  <c r="AI3" i="4"/>
  <c r="AI59" i="4" s="1"/>
  <c r="AJ3" i="4"/>
  <c r="AJ59" i="4" s="1"/>
  <c r="AH3" i="4"/>
  <c r="AH59" i="4" s="1"/>
  <c r="T31" i="4"/>
  <c r="S31" i="4"/>
  <c r="B36" i="4"/>
  <c r="B35" i="4"/>
  <c r="B34" i="4"/>
  <c r="F34" i="4" s="1"/>
  <c r="B32" i="4"/>
  <c r="F32" i="4" s="1"/>
  <c r="E33" i="4" s="1"/>
  <c r="D34" i="4" s="1"/>
  <c r="U18" i="4"/>
  <c r="V18" i="4"/>
  <c r="T18" i="4"/>
  <c r="S18" i="4"/>
  <c r="B21" i="4"/>
  <c r="B19" i="4"/>
  <c r="F19" i="4" s="1"/>
  <c r="E20" i="4" s="1"/>
  <c r="B9" i="4"/>
  <c r="B12" i="4"/>
  <c r="B11" i="4"/>
  <c r="B10" i="4"/>
  <c r="B8" i="4"/>
  <c r="F8" i="4" s="1"/>
  <c r="B6" i="4"/>
  <c r="F6" i="4" s="1"/>
  <c r="E7" i="4" s="1"/>
  <c r="AI5" i="4"/>
  <c r="AI57" i="4" s="1"/>
  <c r="AH56" i="4"/>
  <c r="D8" i="4"/>
  <c r="C9" i="4" s="1"/>
  <c r="B7" i="4"/>
  <c r="F7" i="4" s="1"/>
  <c r="E8" i="4" s="1"/>
  <c r="S5" i="4"/>
  <c r="C20" i="4"/>
  <c r="B23" i="4"/>
  <c r="B37" i="4"/>
  <c r="B47" i="4"/>
  <c r="B50" i="4"/>
  <c r="AK3" i="4"/>
  <c r="AK59" i="4" s="1"/>
  <c r="AI4" i="4"/>
  <c r="AI58" i="4" s="1"/>
  <c r="AJ6" i="4"/>
  <c r="AJ56" i="4" s="1"/>
  <c r="C7" i="4"/>
  <c r="D20" i="4"/>
  <c r="E21" i="4" s="1"/>
  <c r="B33" i="4"/>
  <c r="F33" i="4" s="1"/>
  <c r="E34" i="4" s="1"/>
  <c r="AJ4" i="4"/>
  <c r="AJ58" i="4" s="1"/>
  <c r="AK6" i="4"/>
  <c r="AK56" i="4" s="1"/>
  <c r="T5" i="4"/>
  <c r="V5" i="4"/>
  <c r="B46" i="4"/>
  <c r="F46" i="4" s="1"/>
  <c r="AK4" i="4"/>
  <c r="AK58" i="4" s="1"/>
  <c r="W44" i="4"/>
  <c r="B51" i="4"/>
  <c r="B45" i="4"/>
  <c r="F45" i="4" s="1"/>
  <c r="E46" i="4" s="1"/>
  <c r="D46" i="4"/>
  <c r="C47" i="4" s="1"/>
  <c r="B24" i="4"/>
  <c r="B38" i="4"/>
  <c r="V31" i="4"/>
  <c r="U31" i="4"/>
  <c r="B48" i="4"/>
  <c r="T44" i="4"/>
  <c r="V44" i="4"/>
  <c r="AK5" i="4"/>
  <c r="AK57" i="4" s="1"/>
  <c r="B70" i="5" l="1"/>
  <c r="F70" i="5" s="1"/>
  <c r="E71" i="5" s="1"/>
  <c r="D72" i="5" s="1"/>
  <c r="C73" i="5" s="1"/>
  <c r="B75" i="5"/>
  <c r="B74" i="5"/>
  <c r="B73" i="5"/>
  <c r="B72" i="5"/>
  <c r="F72" i="5" s="1"/>
  <c r="B71" i="5"/>
  <c r="F71" i="5" s="1"/>
  <c r="E72" i="5" s="1"/>
  <c r="B76" i="5"/>
  <c r="C60" i="5"/>
  <c r="D60" i="5"/>
  <c r="E60" i="5"/>
  <c r="D61" i="5" s="1"/>
  <c r="C62" i="5" s="1"/>
  <c r="F60" i="5"/>
  <c r="E61" i="5" s="1"/>
  <c r="D35" i="4"/>
  <c r="C35" i="4"/>
  <c r="E35" i="4"/>
  <c r="F35" i="4"/>
  <c r="E36" i="4" s="1"/>
  <c r="F9" i="4"/>
  <c r="X45" i="4"/>
  <c r="AP6" i="4" s="1"/>
  <c r="X19" i="4"/>
  <c r="AP4" i="4" s="1"/>
  <c r="X32" i="4"/>
  <c r="AP5" i="4" s="1"/>
  <c r="F47" i="4"/>
  <c r="D9" i="4"/>
  <c r="C10" i="4" s="1"/>
  <c r="E47" i="4"/>
  <c r="C36" i="4"/>
  <c r="F36" i="4"/>
  <c r="C21" i="4"/>
  <c r="F21" i="4"/>
  <c r="X6" i="4"/>
  <c r="AP3" i="4" s="1"/>
  <c r="E9" i="4"/>
  <c r="D47" i="4"/>
  <c r="C48" i="4" s="1"/>
  <c r="D36" i="4"/>
  <c r="C37" i="4" s="1"/>
  <c r="D21" i="4"/>
  <c r="D22" i="4" s="1"/>
  <c r="C13" i="3"/>
  <c r="C14" i="3"/>
  <c r="C15" i="3"/>
  <c r="C16" i="3"/>
  <c r="C17" i="3"/>
  <c r="C10" i="3"/>
  <c r="D11" i="3"/>
  <c r="C11" i="3" s="1"/>
  <c r="D12" i="3"/>
  <c r="C12" i="3" s="1"/>
  <c r="D13" i="3"/>
  <c r="D14" i="3"/>
  <c r="D15" i="3"/>
  <c r="D16" i="3"/>
  <c r="D17" i="3"/>
  <c r="D18" i="3"/>
  <c r="D19" i="3"/>
  <c r="D20" i="3"/>
  <c r="D21" i="3"/>
  <c r="D22" i="3"/>
  <c r="D10" i="3"/>
  <c r="F36" i="3"/>
  <c r="H43" i="3"/>
  <c r="G43" i="3"/>
  <c r="F43" i="3"/>
  <c r="E43" i="3"/>
  <c r="H42" i="3"/>
  <c r="G42" i="3"/>
  <c r="F42" i="3"/>
  <c r="E42" i="3"/>
  <c r="H41" i="3"/>
  <c r="G41" i="3"/>
  <c r="F41" i="3"/>
  <c r="E41" i="3"/>
  <c r="H40" i="3"/>
  <c r="G40" i="3"/>
  <c r="F40" i="3"/>
  <c r="E40" i="3"/>
  <c r="H39" i="3"/>
  <c r="G39" i="3"/>
  <c r="F39" i="3"/>
  <c r="E39" i="3"/>
  <c r="H38" i="3"/>
  <c r="G38" i="3"/>
  <c r="F38" i="3"/>
  <c r="E38" i="3"/>
  <c r="H37" i="3"/>
  <c r="G37" i="3"/>
  <c r="F37" i="3"/>
  <c r="E37" i="3"/>
  <c r="H36" i="3"/>
  <c r="G36" i="3"/>
  <c r="E36" i="3"/>
  <c r="H35" i="3"/>
  <c r="G35" i="3"/>
  <c r="F35" i="3"/>
  <c r="E35" i="3"/>
  <c r="H34" i="3"/>
  <c r="G34" i="3"/>
  <c r="F34" i="3"/>
  <c r="E34" i="3"/>
  <c r="H33" i="3"/>
  <c r="G33" i="3"/>
  <c r="F33" i="3"/>
  <c r="E33" i="3"/>
  <c r="H32" i="3"/>
  <c r="G32" i="3"/>
  <c r="F32" i="3"/>
  <c r="E32" i="3"/>
  <c r="H31" i="3"/>
  <c r="G31" i="3"/>
  <c r="F31" i="3"/>
  <c r="E31" i="3"/>
  <c r="I17" i="3"/>
  <c r="C38" i="3" s="1"/>
  <c r="D38" i="3" s="1"/>
  <c r="I13" i="3"/>
  <c r="C34" i="3" s="1"/>
  <c r="D34" i="3" s="1"/>
  <c r="I11" i="3"/>
  <c r="C32" i="3" s="1"/>
  <c r="D32" i="3" s="1"/>
  <c r="I10" i="3"/>
  <c r="C31" i="3" s="1"/>
  <c r="D31" i="3" s="1"/>
  <c r="K6" i="3"/>
  <c r="I22" i="3" s="1"/>
  <c r="C43" i="3" s="1"/>
  <c r="D43" i="3" s="1"/>
  <c r="D6" i="3"/>
  <c r="I14" i="3" s="1"/>
  <c r="C35" i="3" s="1"/>
  <c r="D35" i="3" s="1"/>
  <c r="E6" i="3"/>
  <c r="I15" i="3" s="1"/>
  <c r="C36" i="3" s="1"/>
  <c r="D36" i="3" s="1"/>
  <c r="F6" i="3"/>
  <c r="I16" i="3" s="1"/>
  <c r="C37" i="3" s="1"/>
  <c r="D37" i="3" s="1"/>
  <c r="G6" i="3"/>
  <c r="I18" i="3" s="1"/>
  <c r="C39" i="3" s="1"/>
  <c r="D39" i="3" s="1"/>
  <c r="H6" i="3"/>
  <c r="I19" i="3" s="1"/>
  <c r="C40" i="3" s="1"/>
  <c r="D40" i="3" s="1"/>
  <c r="I6" i="3"/>
  <c r="I20" i="3" s="1"/>
  <c r="C41" i="3" s="1"/>
  <c r="D41" i="3" s="1"/>
  <c r="J6" i="3"/>
  <c r="I21" i="3" s="1"/>
  <c r="C42" i="3" s="1"/>
  <c r="D42" i="3" s="1"/>
  <c r="C6" i="3"/>
  <c r="I12" i="3" s="1"/>
  <c r="C33" i="3" s="1"/>
  <c r="D33" i="3" s="1"/>
  <c r="H22" i="3"/>
  <c r="G22" i="3"/>
  <c r="C22" i="3" s="1"/>
  <c r="F22" i="3"/>
  <c r="E22" i="3"/>
  <c r="H21" i="3"/>
  <c r="G21" i="3"/>
  <c r="C21" i="3" s="1"/>
  <c r="F21" i="3"/>
  <c r="E21" i="3"/>
  <c r="H20" i="3"/>
  <c r="G20" i="3"/>
  <c r="C20" i="3" s="1"/>
  <c r="F20" i="3"/>
  <c r="E20" i="3"/>
  <c r="H19" i="3"/>
  <c r="G19" i="3"/>
  <c r="C19" i="3" s="1"/>
  <c r="F19" i="3"/>
  <c r="E19" i="3"/>
  <c r="H18" i="3"/>
  <c r="G18" i="3"/>
  <c r="C18" i="3" s="1"/>
  <c r="F18" i="3"/>
  <c r="E18" i="3"/>
  <c r="H17" i="3"/>
  <c r="G17" i="3"/>
  <c r="F17" i="3"/>
  <c r="E17" i="3"/>
  <c r="H16" i="3"/>
  <c r="G16" i="3"/>
  <c r="F16" i="3"/>
  <c r="E16" i="3"/>
  <c r="H15" i="3"/>
  <c r="G15" i="3"/>
  <c r="F15" i="3"/>
  <c r="E15" i="3"/>
  <c r="H14" i="3"/>
  <c r="G14" i="3"/>
  <c r="F14" i="3"/>
  <c r="E14" i="3"/>
  <c r="H13" i="3"/>
  <c r="G13" i="3"/>
  <c r="F13" i="3"/>
  <c r="E13" i="3"/>
  <c r="H12" i="3"/>
  <c r="G12" i="3"/>
  <c r="F12" i="3"/>
  <c r="E12" i="3"/>
  <c r="H11" i="3"/>
  <c r="G11" i="3"/>
  <c r="F11" i="3"/>
  <c r="E11" i="3"/>
  <c r="H10" i="3"/>
  <c r="G10" i="3"/>
  <c r="F10" i="3"/>
  <c r="E10" i="3"/>
  <c r="M28" i="2"/>
  <c r="N28" i="2" s="1"/>
  <c r="T28" i="2" s="1"/>
  <c r="M27" i="2"/>
  <c r="N27" i="2" s="1"/>
  <c r="T27" i="2" s="1"/>
  <c r="U28" i="2" s="1"/>
  <c r="V29" i="2" s="1"/>
  <c r="W30" i="2" s="1"/>
  <c r="X31" i="2" s="1"/>
  <c r="Y32" i="2" s="1"/>
  <c r="Z33" i="2" s="1"/>
  <c r="AA34" i="2" s="1"/>
  <c r="AB35" i="2" s="1"/>
  <c r="AC36" i="2" s="1"/>
  <c r="L28" i="2"/>
  <c r="K28" i="2"/>
  <c r="L29" i="2" s="1"/>
  <c r="J28" i="2"/>
  <c r="K29" i="2" s="1"/>
  <c r="L30" i="2" s="1"/>
  <c r="I28" i="2"/>
  <c r="J29" i="2" s="1"/>
  <c r="K30" i="2" s="1"/>
  <c r="L31" i="2" s="1"/>
  <c r="H28" i="2"/>
  <c r="I29" i="2" s="1"/>
  <c r="J30" i="2" s="1"/>
  <c r="K31" i="2" s="1"/>
  <c r="L32" i="2" s="1"/>
  <c r="G28" i="2"/>
  <c r="H29" i="2" s="1"/>
  <c r="I30" i="2" s="1"/>
  <c r="J31" i="2" s="1"/>
  <c r="K32" i="2" s="1"/>
  <c r="L33" i="2" s="1"/>
  <c r="F28" i="2"/>
  <c r="G29" i="2" s="1"/>
  <c r="H30" i="2" s="1"/>
  <c r="I31" i="2" s="1"/>
  <c r="J32" i="2" s="1"/>
  <c r="K33" i="2" s="1"/>
  <c r="L34" i="2" s="1"/>
  <c r="E28" i="2"/>
  <c r="F29" i="2" s="1"/>
  <c r="G30" i="2" s="1"/>
  <c r="H31" i="2" s="1"/>
  <c r="I32" i="2" s="1"/>
  <c r="J33" i="2" s="1"/>
  <c r="K34" i="2" s="1"/>
  <c r="L35" i="2" s="1"/>
  <c r="D28" i="2"/>
  <c r="E29" i="2" s="1"/>
  <c r="F30" i="2" s="1"/>
  <c r="G31" i="2" s="1"/>
  <c r="H32" i="2" s="1"/>
  <c r="I33" i="2" s="1"/>
  <c r="J34" i="2" s="1"/>
  <c r="K35" i="2" s="1"/>
  <c r="L36" i="2" s="1"/>
  <c r="AE27" i="2"/>
  <c r="AD28" i="2"/>
  <c r="AC28" i="2"/>
  <c r="AD29" i="2" s="1"/>
  <c r="AB28" i="2"/>
  <c r="AC29" i="2" s="1"/>
  <c r="AD30" i="2" s="1"/>
  <c r="AA28" i="2"/>
  <c r="AB29" i="2" s="1"/>
  <c r="AC30" i="2" s="1"/>
  <c r="AD31" i="2" s="1"/>
  <c r="Z28" i="2"/>
  <c r="AA29" i="2" s="1"/>
  <c r="AB30" i="2" s="1"/>
  <c r="AC31" i="2" s="1"/>
  <c r="AD32" i="2" s="1"/>
  <c r="Y28" i="2"/>
  <c r="Z29" i="2" s="1"/>
  <c r="AA30" i="2" s="1"/>
  <c r="AB31" i="2" s="1"/>
  <c r="AC32" i="2" s="1"/>
  <c r="AD33" i="2" s="1"/>
  <c r="X28" i="2"/>
  <c r="Y29" i="2" s="1"/>
  <c r="Z30" i="2" s="1"/>
  <c r="AA31" i="2" s="1"/>
  <c r="AB32" i="2" s="1"/>
  <c r="AC33" i="2" s="1"/>
  <c r="AD34" i="2" s="1"/>
  <c r="W28" i="2"/>
  <c r="X29" i="2" s="1"/>
  <c r="Y30" i="2" s="1"/>
  <c r="Z31" i="2" s="1"/>
  <c r="AA32" i="2" s="1"/>
  <c r="AB33" i="2" s="1"/>
  <c r="AC34" i="2" s="1"/>
  <c r="AD35" i="2" s="1"/>
  <c r="V28" i="2"/>
  <c r="W29" i="2" s="1"/>
  <c r="X30" i="2" s="1"/>
  <c r="Y31" i="2" s="1"/>
  <c r="Z32" i="2" s="1"/>
  <c r="AA33" i="2" s="1"/>
  <c r="AB34" i="2" s="1"/>
  <c r="AC35" i="2" s="1"/>
  <c r="AD36" i="2" s="1"/>
  <c r="E73" i="5" l="1"/>
  <c r="D73" i="5"/>
  <c r="C61" i="5"/>
  <c r="F61" i="5"/>
  <c r="E62" i="5" s="1"/>
  <c r="F73" i="5"/>
  <c r="E74" i="5" s="1"/>
  <c r="D62" i="5"/>
  <c r="F62" i="5"/>
  <c r="E63" i="5" s="1"/>
  <c r="D48" i="3"/>
  <c r="D47" i="3"/>
  <c r="D46" i="3"/>
  <c r="D49" i="3"/>
  <c r="D48" i="4"/>
  <c r="C49" i="4" s="1"/>
  <c r="E10" i="4"/>
  <c r="E48" i="4"/>
  <c r="D10" i="4"/>
  <c r="D11" i="4" s="1"/>
  <c r="F10" i="4"/>
  <c r="E11" i="4" s="1"/>
  <c r="F37" i="4"/>
  <c r="C23" i="4"/>
  <c r="F23" i="4"/>
  <c r="F48" i="4"/>
  <c r="D37" i="4"/>
  <c r="C11" i="4"/>
  <c r="E22" i="4"/>
  <c r="D23" i="4" s="1"/>
  <c r="E37" i="4"/>
  <c r="C22" i="4"/>
  <c r="F22" i="4"/>
  <c r="E23" i="4" s="1"/>
  <c r="D24" i="4" s="1"/>
  <c r="C24" i="3"/>
  <c r="C29" i="2"/>
  <c r="D30" i="2" s="1"/>
  <c r="E31" i="2" s="1"/>
  <c r="F32" i="2" s="1"/>
  <c r="G33" i="2" s="1"/>
  <c r="H34" i="2" s="1"/>
  <c r="I35" i="2" s="1"/>
  <c r="J36" i="2" s="1"/>
  <c r="U29" i="2"/>
  <c r="V30" i="2" s="1"/>
  <c r="AF27" i="2"/>
  <c r="AG27" i="2" s="1"/>
  <c r="M30" i="2"/>
  <c r="N30" i="2" s="1"/>
  <c r="C28" i="2"/>
  <c r="D29" i="2" s="1"/>
  <c r="W31" i="2"/>
  <c r="X32" i="2" s="1"/>
  <c r="Y33" i="2" s="1"/>
  <c r="Z34" i="2" s="1"/>
  <c r="AA35" i="2" s="1"/>
  <c r="AB36" i="2" s="1"/>
  <c r="AE30" i="2"/>
  <c r="AE29" i="2"/>
  <c r="AE28" i="2"/>
  <c r="AF28" i="2" s="1"/>
  <c r="AG28" i="2" s="1"/>
  <c r="AD10" i="2"/>
  <c r="AC10" i="2"/>
  <c r="AD11" i="2" s="1"/>
  <c r="AB10" i="2"/>
  <c r="AC11" i="2" s="1"/>
  <c r="AD12" i="2" s="1"/>
  <c r="AA10" i="2"/>
  <c r="AB11" i="2" s="1"/>
  <c r="AC12" i="2" s="1"/>
  <c r="AD13" i="2" s="1"/>
  <c r="Z10" i="2"/>
  <c r="AA11" i="2" s="1"/>
  <c r="AB12" i="2" s="1"/>
  <c r="AC13" i="2" s="1"/>
  <c r="AD14" i="2" s="1"/>
  <c r="Y10" i="2"/>
  <c r="Z11" i="2" s="1"/>
  <c r="AA12" i="2" s="1"/>
  <c r="AB13" i="2" s="1"/>
  <c r="AC14" i="2" s="1"/>
  <c r="AD15" i="2" s="1"/>
  <c r="X10" i="2"/>
  <c r="Y11" i="2" s="1"/>
  <c r="Z12" i="2" s="1"/>
  <c r="AA13" i="2" s="1"/>
  <c r="AB14" i="2" s="1"/>
  <c r="AC15" i="2" s="1"/>
  <c r="AD16" i="2" s="1"/>
  <c r="W10" i="2"/>
  <c r="X11" i="2" s="1"/>
  <c r="Y12" i="2" s="1"/>
  <c r="Z13" i="2" s="1"/>
  <c r="AA14" i="2" s="1"/>
  <c r="AB15" i="2" s="1"/>
  <c r="AC16" i="2" s="1"/>
  <c r="AD17" i="2" s="1"/>
  <c r="V10" i="2"/>
  <c r="AE9" i="2"/>
  <c r="U10" i="2" s="1"/>
  <c r="V11" i="2" s="1"/>
  <c r="L10" i="2"/>
  <c r="K10" i="2"/>
  <c r="L11" i="2" s="1"/>
  <c r="J10" i="2"/>
  <c r="K11" i="2" s="1"/>
  <c r="L12" i="2" s="1"/>
  <c r="I10" i="2"/>
  <c r="J11" i="2" s="1"/>
  <c r="K12" i="2" s="1"/>
  <c r="L13" i="2" s="1"/>
  <c r="H10" i="2"/>
  <c r="I11" i="2" s="1"/>
  <c r="J12" i="2" s="1"/>
  <c r="K13" i="2" s="1"/>
  <c r="L14" i="2" s="1"/>
  <c r="G10" i="2"/>
  <c r="H11" i="2" s="1"/>
  <c r="I12" i="2" s="1"/>
  <c r="J13" i="2" s="1"/>
  <c r="K14" i="2" s="1"/>
  <c r="L15" i="2" s="1"/>
  <c r="F10" i="2"/>
  <c r="G11" i="2" s="1"/>
  <c r="H12" i="2" s="1"/>
  <c r="I13" i="2" s="1"/>
  <c r="J14" i="2" s="1"/>
  <c r="K15" i="2" s="1"/>
  <c r="L16" i="2" s="1"/>
  <c r="E10" i="2"/>
  <c r="F11" i="2" s="1"/>
  <c r="G12" i="2" s="1"/>
  <c r="H13" i="2" s="1"/>
  <c r="I14" i="2" s="1"/>
  <c r="J15" i="2" s="1"/>
  <c r="K16" i="2" s="1"/>
  <c r="L17" i="2" s="1"/>
  <c r="D10" i="2"/>
  <c r="M9" i="2"/>
  <c r="C10" i="2" s="1"/>
  <c r="D11" i="2" s="1"/>
  <c r="L35" i="1"/>
  <c r="K35" i="1"/>
  <c r="J35" i="1"/>
  <c r="I35" i="1"/>
  <c r="H35" i="1"/>
  <c r="G35" i="1"/>
  <c r="F35" i="1"/>
  <c r="E35" i="1"/>
  <c r="D35" i="1"/>
  <c r="T29" i="1"/>
  <c r="R29" i="1"/>
  <c r="P29" i="1"/>
  <c r="N29" i="1"/>
  <c r="L29" i="1"/>
  <c r="J29" i="1"/>
  <c r="H29" i="1"/>
  <c r="F29" i="1"/>
  <c r="D29" i="1"/>
  <c r="T23" i="1"/>
  <c r="R23" i="1"/>
  <c r="P23" i="1"/>
  <c r="N23" i="1"/>
  <c r="L23" i="1"/>
  <c r="J23" i="1"/>
  <c r="H23" i="1"/>
  <c r="F23" i="1"/>
  <c r="D23" i="1"/>
  <c r="L18" i="1"/>
  <c r="K18" i="1"/>
  <c r="J18" i="1"/>
  <c r="I18" i="1"/>
  <c r="H18" i="1"/>
  <c r="G18" i="1"/>
  <c r="F18" i="1"/>
  <c r="E18" i="1"/>
  <c r="D18" i="1"/>
  <c r="L10" i="1"/>
  <c r="K10" i="1"/>
  <c r="J10" i="1"/>
  <c r="I10" i="1"/>
  <c r="H10" i="1"/>
  <c r="G10" i="1"/>
  <c r="F10" i="1"/>
  <c r="E10" i="1"/>
  <c r="D10" i="1"/>
  <c r="K4" i="1"/>
  <c r="L4" i="1"/>
  <c r="H4" i="1"/>
  <c r="I4" i="1"/>
  <c r="J4" i="1"/>
  <c r="E4" i="1"/>
  <c r="F4" i="1"/>
  <c r="G4" i="1"/>
  <c r="D4" i="1"/>
  <c r="C74" i="5" l="1"/>
  <c r="F74" i="5"/>
  <c r="D74" i="5"/>
  <c r="D63" i="5"/>
  <c r="C65" i="5" s="1"/>
  <c r="F63" i="5"/>
  <c r="C63" i="5"/>
  <c r="F49" i="4"/>
  <c r="E49" i="4"/>
  <c r="D49" i="4"/>
  <c r="C50" i="4" s="1"/>
  <c r="F11" i="4"/>
  <c r="E12" i="4" s="1"/>
  <c r="D38" i="4"/>
  <c r="D12" i="4"/>
  <c r="E24" i="4"/>
  <c r="D25" i="4" s="1"/>
  <c r="C38" i="4"/>
  <c r="F38" i="4"/>
  <c r="C25" i="4"/>
  <c r="F25" i="4"/>
  <c r="C24" i="4"/>
  <c r="F24" i="4"/>
  <c r="E25" i="4" s="1"/>
  <c r="C12" i="4"/>
  <c r="F12" i="4"/>
  <c r="E38" i="4"/>
  <c r="D50" i="3"/>
  <c r="D51" i="3"/>
  <c r="H28" i="3" s="1"/>
  <c r="C31" i="2"/>
  <c r="D32" i="2" s="1"/>
  <c r="E33" i="2" s="1"/>
  <c r="F34" i="2" s="1"/>
  <c r="G35" i="2" s="1"/>
  <c r="H36" i="2" s="1"/>
  <c r="T30" i="2"/>
  <c r="U31" i="2" s="1"/>
  <c r="V32" i="2" s="1"/>
  <c r="AE10" i="2"/>
  <c r="U11" i="2" s="1"/>
  <c r="V12" i="2" s="1"/>
  <c r="W13" i="2" s="1"/>
  <c r="X14" i="2" s="1"/>
  <c r="Y15" i="2" s="1"/>
  <c r="Z16" i="2" s="1"/>
  <c r="AA17" i="2" s="1"/>
  <c r="AB18" i="2" s="1"/>
  <c r="M32" i="2"/>
  <c r="N32" i="2" s="1"/>
  <c r="E30" i="2"/>
  <c r="F31" i="2" s="1"/>
  <c r="G32" i="2" s="1"/>
  <c r="H33" i="2" s="1"/>
  <c r="M29" i="2"/>
  <c r="N29" i="2" s="1"/>
  <c r="T29" i="2" s="1"/>
  <c r="U30" i="2" s="1"/>
  <c r="V31" i="2" s="1"/>
  <c r="M10" i="2"/>
  <c r="N10" i="2" s="1"/>
  <c r="T10" i="2" s="1"/>
  <c r="W12" i="2"/>
  <c r="X13" i="2" s="1"/>
  <c r="Y14" i="2" s="1"/>
  <c r="Z15" i="2" s="1"/>
  <c r="AA16" i="2" s="1"/>
  <c r="AB17" i="2" s="1"/>
  <c r="AC18" i="2" s="1"/>
  <c r="AE11" i="2"/>
  <c r="U12" i="2" s="1"/>
  <c r="V13" i="2" s="1"/>
  <c r="W11" i="2"/>
  <c r="X12" i="2" s="1"/>
  <c r="Y13" i="2" s="1"/>
  <c r="Z14" i="2" s="1"/>
  <c r="AA15" i="2" s="1"/>
  <c r="AB16" i="2" s="1"/>
  <c r="AC17" i="2" s="1"/>
  <c r="AD18" i="2" s="1"/>
  <c r="E12" i="2"/>
  <c r="F13" i="2" s="1"/>
  <c r="G14" i="2" s="1"/>
  <c r="H15" i="2" s="1"/>
  <c r="I16" i="2" s="1"/>
  <c r="J17" i="2" s="1"/>
  <c r="K18" i="2" s="1"/>
  <c r="M11" i="2"/>
  <c r="E11" i="2"/>
  <c r="F12" i="2" s="1"/>
  <c r="G13" i="2" s="1"/>
  <c r="H14" i="2" s="1"/>
  <c r="I15" i="2" s="1"/>
  <c r="J16" i="2" s="1"/>
  <c r="K17" i="2" s="1"/>
  <c r="L18" i="2" s="1"/>
  <c r="N9" i="2"/>
  <c r="T9" i="2" s="1"/>
  <c r="AF9" i="2" s="1"/>
  <c r="AG9" i="2" s="1"/>
  <c r="D75" i="5" l="1"/>
  <c r="E75" i="5"/>
  <c r="C75" i="5"/>
  <c r="F75" i="5"/>
  <c r="F50" i="4"/>
  <c r="D50" i="4"/>
  <c r="E50" i="4"/>
  <c r="D51" i="4" s="1"/>
  <c r="F13" i="4"/>
  <c r="G14" i="4" s="1"/>
  <c r="F39" i="4"/>
  <c r="G40" i="4" s="1"/>
  <c r="AL5" i="4" s="1"/>
  <c r="F26" i="4"/>
  <c r="G27" i="4" s="1"/>
  <c r="AN4" i="4" s="1"/>
  <c r="AN58" i="4" s="1"/>
  <c r="F51" i="4"/>
  <c r="I36" i="3"/>
  <c r="J36" i="3" s="1"/>
  <c r="I42" i="3"/>
  <c r="J42" i="3" s="1"/>
  <c r="I32" i="3"/>
  <c r="J32" i="3" s="1"/>
  <c r="I37" i="3"/>
  <c r="J37" i="3" s="1"/>
  <c r="I43" i="3"/>
  <c r="J43" i="3" s="1"/>
  <c r="I38" i="3"/>
  <c r="J38" i="3" s="1"/>
  <c r="I33" i="3"/>
  <c r="I34" i="3"/>
  <c r="J34" i="3" s="1"/>
  <c r="I40" i="3"/>
  <c r="J40" i="3" s="1"/>
  <c r="I35" i="3"/>
  <c r="J35" i="3" s="1"/>
  <c r="I41" i="3"/>
  <c r="J41" i="3" s="1"/>
  <c r="I31" i="3"/>
  <c r="I39" i="3"/>
  <c r="J39" i="3" s="1"/>
  <c r="C33" i="2"/>
  <c r="D34" i="2" s="1"/>
  <c r="E35" i="2" s="1"/>
  <c r="F36" i="2" s="1"/>
  <c r="T32" i="2"/>
  <c r="U33" i="2" s="1"/>
  <c r="V34" i="2" s="1"/>
  <c r="AE12" i="2"/>
  <c r="U13" i="2" s="1"/>
  <c r="V14" i="2" s="1"/>
  <c r="AF29" i="2"/>
  <c r="W32" i="2"/>
  <c r="X33" i="2" s="1"/>
  <c r="Y34" i="2" s="1"/>
  <c r="Z35" i="2" s="1"/>
  <c r="AA36" i="2" s="1"/>
  <c r="AE31" i="2"/>
  <c r="W33" i="2"/>
  <c r="X34" i="2" s="1"/>
  <c r="Y35" i="2" s="1"/>
  <c r="Z36" i="2" s="1"/>
  <c r="AE32" i="2"/>
  <c r="AF10" i="2"/>
  <c r="AG10" i="2" s="1"/>
  <c r="AF30" i="2"/>
  <c r="AG30" i="2" s="1"/>
  <c r="C30" i="2"/>
  <c r="D31" i="2" s="1"/>
  <c r="I34" i="2"/>
  <c r="J35" i="2" s="1"/>
  <c r="K36" i="2" s="1"/>
  <c r="C11" i="2"/>
  <c r="D12" i="2" s="1"/>
  <c r="M12" i="2" s="1"/>
  <c r="AE13" i="2"/>
  <c r="W14" i="2"/>
  <c r="X15" i="2" s="1"/>
  <c r="Y16" i="2" s="1"/>
  <c r="Z17" i="2" s="1"/>
  <c r="AA18" i="2" s="1"/>
  <c r="C12" i="2"/>
  <c r="D13" i="2" s="1"/>
  <c r="N11" i="2"/>
  <c r="T11" i="2" s="1"/>
  <c r="AF11" i="2" s="1"/>
  <c r="AG11" i="2" s="1"/>
  <c r="E76" i="5" l="1"/>
  <c r="F76" i="5"/>
  <c r="C76" i="5"/>
  <c r="D76" i="5"/>
  <c r="C78" i="5" s="1"/>
  <c r="AF32" i="2"/>
  <c r="AG32" i="2" s="1"/>
  <c r="E51" i="4"/>
  <c r="C51" i="4"/>
  <c r="AL3" i="4"/>
  <c r="AM3" i="4"/>
  <c r="AM59" i="4" s="1"/>
  <c r="AM5" i="4"/>
  <c r="AM57" i="4" s="1"/>
  <c r="AN5" i="4"/>
  <c r="AN57" i="4" s="1"/>
  <c r="AN3" i="4"/>
  <c r="AN59" i="4" s="1"/>
  <c r="AL4" i="4"/>
  <c r="AL58" i="4" s="1"/>
  <c r="AM4" i="4"/>
  <c r="AM58" i="4" s="1"/>
  <c r="F52" i="4"/>
  <c r="G53" i="4" s="1"/>
  <c r="AL6" i="4" s="1"/>
  <c r="AL57" i="4"/>
  <c r="AO5" i="4"/>
  <c r="AL59" i="4"/>
  <c r="AO3" i="4"/>
  <c r="J31" i="3"/>
  <c r="C53" i="3"/>
  <c r="C54" i="3" s="1"/>
  <c r="J33" i="3"/>
  <c r="C55" i="3"/>
  <c r="C56" i="3" s="1"/>
  <c r="AG29" i="2"/>
  <c r="M34" i="2"/>
  <c r="N34" i="2" s="1"/>
  <c r="W35" i="2"/>
  <c r="X36" i="2" s="1"/>
  <c r="AE34" i="2"/>
  <c r="E32" i="2"/>
  <c r="F33" i="2" s="1"/>
  <c r="G34" i="2" s="1"/>
  <c r="H35" i="2" s="1"/>
  <c r="M31" i="2"/>
  <c r="N31" i="2" s="1"/>
  <c r="T31" i="2" s="1"/>
  <c r="U32" i="2" s="1"/>
  <c r="V33" i="2" s="1"/>
  <c r="E13" i="2"/>
  <c r="F14" i="2" s="1"/>
  <c r="G15" i="2" s="1"/>
  <c r="H16" i="2" s="1"/>
  <c r="I17" i="2" s="1"/>
  <c r="J18" i="2" s="1"/>
  <c r="AE14" i="2"/>
  <c r="W15" i="2"/>
  <c r="X16" i="2" s="1"/>
  <c r="Y17" i="2" s="1"/>
  <c r="Z18" i="2" s="1"/>
  <c r="U14" i="2"/>
  <c r="V15" i="2" s="1"/>
  <c r="N12" i="2"/>
  <c r="T12" i="2" s="1"/>
  <c r="AF12" i="2" s="1"/>
  <c r="AG12" i="2" s="1"/>
  <c r="C13" i="2"/>
  <c r="D14" i="2" s="1"/>
  <c r="E14" i="2"/>
  <c r="F15" i="2" s="1"/>
  <c r="G16" i="2" s="1"/>
  <c r="H17" i="2" s="1"/>
  <c r="I18" i="2" s="1"/>
  <c r="M13" i="2"/>
  <c r="AO4" i="4" l="1"/>
  <c r="AM6" i="4"/>
  <c r="AM56" i="4" s="1"/>
  <c r="AN6" i="4"/>
  <c r="AN56" i="4" s="1"/>
  <c r="AL56" i="4"/>
  <c r="G57" i="4" s="1" a="1"/>
  <c r="W34" i="2"/>
  <c r="X35" i="2" s="1"/>
  <c r="Y36" i="2" s="1"/>
  <c r="AE33" i="2"/>
  <c r="C35" i="2"/>
  <c r="D36" i="2" s="1"/>
  <c r="M36" i="2" s="1"/>
  <c r="N36" i="2" s="1"/>
  <c r="T36" i="2" s="1"/>
  <c r="AF36" i="2" s="1"/>
  <c r="AG36" i="2" s="1"/>
  <c r="T34" i="2"/>
  <c r="U35" i="2" s="1"/>
  <c r="V36" i="2" s="1"/>
  <c r="AE36" i="2" s="1"/>
  <c r="AF31" i="2"/>
  <c r="C32" i="2"/>
  <c r="D33" i="2" s="1"/>
  <c r="I36" i="2"/>
  <c r="U15" i="2"/>
  <c r="V16" i="2" s="1"/>
  <c r="W16" i="2"/>
  <c r="X17" i="2" s="1"/>
  <c r="Y18" i="2" s="1"/>
  <c r="AE15" i="2"/>
  <c r="C14" i="2"/>
  <c r="D15" i="2" s="1"/>
  <c r="N13" i="2"/>
  <c r="T13" i="2" s="1"/>
  <c r="AF13" i="2" s="1"/>
  <c r="AG13" i="2" s="1"/>
  <c r="M14" i="2"/>
  <c r="E15" i="2"/>
  <c r="F16" i="2" s="1"/>
  <c r="G17" i="2" s="1"/>
  <c r="H18" i="2" s="1"/>
  <c r="AO6" i="4" l="1"/>
  <c r="I72" i="4"/>
  <c r="Q72" i="4" s="1"/>
  <c r="J71" i="4"/>
  <c r="R71" i="4" s="1"/>
  <c r="K70" i="4"/>
  <c r="S70" i="4" s="1"/>
  <c r="L69" i="4"/>
  <c r="T69" i="4" s="1"/>
  <c r="M68" i="4"/>
  <c r="U68" i="4" s="1"/>
  <c r="G68" i="4"/>
  <c r="O68" i="4" s="1"/>
  <c r="H67" i="4"/>
  <c r="P67" i="4" s="1"/>
  <c r="I66" i="4"/>
  <c r="Q66" i="4" s="1"/>
  <c r="J65" i="4"/>
  <c r="R65" i="4" s="1"/>
  <c r="K64" i="4"/>
  <c r="S64" i="4" s="1"/>
  <c r="L63" i="4"/>
  <c r="T63" i="4" s="1"/>
  <c r="M62" i="4"/>
  <c r="U62" i="4" s="1"/>
  <c r="G62" i="4"/>
  <c r="O62" i="4" s="1"/>
  <c r="H61" i="4"/>
  <c r="P61" i="4" s="1"/>
  <c r="I60" i="4"/>
  <c r="Q60" i="4" s="1"/>
  <c r="J59" i="4"/>
  <c r="R59" i="4" s="1"/>
  <c r="K58" i="4"/>
  <c r="S58" i="4" s="1"/>
  <c r="L57" i="4"/>
  <c r="T57" i="4" s="1"/>
  <c r="H72" i="4"/>
  <c r="P72" i="4" s="1"/>
  <c r="I71" i="4"/>
  <c r="Q71" i="4" s="1"/>
  <c r="J70" i="4"/>
  <c r="R70" i="4" s="1"/>
  <c r="K69" i="4"/>
  <c r="S69" i="4" s="1"/>
  <c r="L68" i="4"/>
  <c r="T68" i="4" s="1"/>
  <c r="M67" i="4"/>
  <c r="U67" i="4" s="1"/>
  <c r="G67" i="4"/>
  <c r="O67" i="4" s="1"/>
  <c r="H66" i="4"/>
  <c r="P66" i="4" s="1"/>
  <c r="I65" i="4"/>
  <c r="Q65" i="4" s="1"/>
  <c r="J64" i="4"/>
  <c r="R64" i="4" s="1"/>
  <c r="K63" i="4"/>
  <c r="S63" i="4" s="1"/>
  <c r="L62" i="4"/>
  <c r="T62" i="4" s="1"/>
  <c r="M61" i="4"/>
  <c r="U61" i="4" s="1"/>
  <c r="G61" i="4"/>
  <c r="O61" i="4" s="1"/>
  <c r="H60" i="4"/>
  <c r="P60" i="4" s="1"/>
  <c r="I59" i="4"/>
  <c r="Q59" i="4" s="1"/>
  <c r="J58" i="4"/>
  <c r="R58" i="4" s="1"/>
  <c r="K57" i="4"/>
  <c r="S57" i="4" s="1"/>
  <c r="L72" i="4"/>
  <c r="T72" i="4" s="1"/>
  <c r="M71" i="4"/>
  <c r="U71" i="4" s="1"/>
  <c r="G71" i="4"/>
  <c r="O71" i="4" s="1"/>
  <c r="K72" i="4"/>
  <c r="S72" i="4" s="1"/>
  <c r="K71" i="4"/>
  <c r="S71" i="4" s="1"/>
  <c r="G70" i="4"/>
  <c r="O70" i="4" s="1"/>
  <c r="K68" i="4"/>
  <c r="S68" i="4" s="1"/>
  <c r="J67" i="4"/>
  <c r="R67" i="4" s="1"/>
  <c r="G66" i="4"/>
  <c r="O66" i="4" s="1"/>
  <c r="M64" i="4"/>
  <c r="U64" i="4" s="1"/>
  <c r="J63" i="4"/>
  <c r="R63" i="4" s="1"/>
  <c r="I62" i="4"/>
  <c r="Q62" i="4" s="1"/>
  <c r="M60" i="4"/>
  <c r="U60" i="4" s="1"/>
  <c r="L59" i="4"/>
  <c r="T59" i="4" s="1"/>
  <c r="I58" i="4"/>
  <c r="Q58" i="4" s="1"/>
  <c r="H57" i="4"/>
  <c r="P57" i="4" s="1"/>
  <c r="H71" i="4"/>
  <c r="P71" i="4" s="1"/>
  <c r="M69" i="4"/>
  <c r="U69" i="4" s="1"/>
  <c r="J68" i="4"/>
  <c r="R68" i="4" s="1"/>
  <c r="I67" i="4"/>
  <c r="Q67" i="4" s="1"/>
  <c r="M65" i="4"/>
  <c r="U65" i="4" s="1"/>
  <c r="L64" i="4"/>
  <c r="T64" i="4" s="1"/>
  <c r="I63" i="4"/>
  <c r="Q63" i="4" s="1"/>
  <c r="H62" i="4"/>
  <c r="P62" i="4" s="1"/>
  <c r="L60" i="4"/>
  <c r="T60" i="4" s="1"/>
  <c r="K59" i="4"/>
  <c r="S59" i="4" s="1"/>
  <c r="H58" i="4"/>
  <c r="P58" i="4" s="1"/>
  <c r="G57" i="4"/>
  <c r="O57" i="4" s="1"/>
  <c r="M72" i="4"/>
  <c r="U72" i="4" s="1"/>
  <c r="M70" i="4"/>
  <c r="U70" i="4" s="1"/>
  <c r="J69" i="4"/>
  <c r="R69" i="4" s="1"/>
  <c r="I68" i="4"/>
  <c r="Q68" i="4" s="1"/>
  <c r="M66" i="4"/>
  <c r="U66" i="4" s="1"/>
  <c r="L65" i="4"/>
  <c r="T65" i="4" s="1"/>
  <c r="I64" i="4"/>
  <c r="Q64" i="4" s="1"/>
  <c r="H63" i="4"/>
  <c r="P63" i="4" s="1"/>
  <c r="L61" i="4"/>
  <c r="T61" i="4" s="1"/>
  <c r="K60" i="4"/>
  <c r="S60" i="4" s="1"/>
  <c r="H59" i="4"/>
  <c r="P59" i="4" s="1"/>
  <c r="G58" i="4"/>
  <c r="O58" i="4" s="1"/>
  <c r="M59" i="4"/>
  <c r="U59" i="4" s="1"/>
  <c r="J72" i="4"/>
  <c r="R72" i="4" s="1"/>
  <c r="L70" i="4"/>
  <c r="T70" i="4" s="1"/>
  <c r="I69" i="4"/>
  <c r="Q69" i="4" s="1"/>
  <c r="H68" i="4"/>
  <c r="P68" i="4" s="1"/>
  <c r="L66" i="4"/>
  <c r="T66" i="4" s="1"/>
  <c r="K65" i="4"/>
  <c r="S65" i="4" s="1"/>
  <c r="H64" i="4"/>
  <c r="P64" i="4" s="1"/>
  <c r="G63" i="4"/>
  <c r="O63" i="4" s="1"/>
  <c r="K61" i="4"/>
  <c r="S61" i="4" s="1"/>
  <c r="J60" i="4"/>
  <c r="R60" i="4" s="1"/>
  <c r="G59" i="4"/>
  <c r="O59" i="4" s="1"/>
  <c r="M57" i="4"/>
  <c r="U57" i="4" s="1"/>
  <c r="L71" i="4"/>
  <c r="T71" i="4" s="1"/>
  <c r="H70" i="4"/>
  <c r="P70" i="4" s="1"/>
  <c r="G69" i="4"/>
  <c r="O69" i="4" s="1"/>
  <c r="K67" i="4"/>
  <c r="S67" i="4" s="1"/>
  <c r="G65" i="4"/>
  <c r="O65" i="4" s="1"/>
  <c r="J62" i="4"/>
  <c r="R62" i="4" s="1"/>
  <c r="I61" i="4"/>
  <c r="Q61" i="4" s="1"/>
  <c r="I57" i="4"/>
  <c r="Q57" i="4" s="1"/>
  <c r="G72" i="4"/>
  <c r="O72" i="4" s="1"/>
  <c r="I70" i="4"/>
  <c r="Q70" i="4" s="1"/>
  <c r="H69" i="4"/>
  <c r="P69" i="4" s="1"/>
  <c r="L67" i="4"/>
  <c r="T67" i="4" s="1"/>
  <c r="K66" i="4"/>
  <c r="S66" i="4" s="1"/>
  <c r="H65" i="4"/>
  <c r="P65" i="4" s="1"/>
  <c r="G64" i="4"/>
  <c r="O64" i="4" s="1"/>
  <c r="K62" i="4"/>
  <c r="S62" i="4" s="1"/>
  <c r="J61" i="4"/>
  <c r="R61" i="4" s="1"/>
  <c r="G60" i="4"/>
  <c r="O60" i="4" s="1"/>
  <c r="M58" i="4"/>
  <c r="U58" i="4" s="1"/>
  <c r="J57" i="4"/>
  <c r="R57" i="4" s="1"/>
  <c r="J66" i="4"/>
  <c r="R66" i="4" s="1"/>
  <c r="M63" i="4"/>
  <c r="U63" i="4" s="1"/>
  <c r="L58" i="4"/>
  <c r="T58" i="4" s="1"/>
  <c r="AG31" i="2"/>
  <c r="AF34" i="2"/>
  <c r="AG34" i="2" s="1"/>
  <c r="E34" i="2"/>
  <c r="F35" i="2" s="1"/>
  <c r="G36" i="2" s="1"/>
  <c r="M33" i="2"/>
  <c r="N33" i="2" s="1"/>
  <c r="T33" i="2" s="1"/>
  <c r="U34" i="2" s="1"/>
  <c r="V35" i="2" s="1"/>
  <c r="U16" i="2"/>
  <c r="V17" i="2" s="1"/>
  <c r="W17" i="2"/>
  <c r="X18" i="2" s="1"/>
  <c r="AE16" i="2"/>
  <c r="N14" i="2"/>
  <c r="T14" i="2" s="1"/>
  <c r="AF14" i="2" s="1"/>
  <c r="AG14" i="2" s="1"/>
  <c r="C15" i="2"/>
  <c r="D16" i="2" s="1"/>
  <c r="E16" i="2"/>
  <c r="F17" i="2" s="1"/>
  <c r="G18" i="2" s="1"/>
  <c r="M15" i="2"/>
  <c r="W64" i="4" l="1"/>
  <c r="W72" i="4"/>
  <c r="W69" i="4"/>
  <c r="W63" i="4"/>
  <c r="W62" i="4"/>
  <c r="W60" i="4"/>
  <c r="W61" i="4"/>
  <c r="W67" i="4"/>
  <c r="W70" i="4"/>
  <c r="W68" i="4"/>
  <c r="W65" i="4"/>
  <c r="W59" i="4"/>
  <c r="W58" i="4"/>
  <c r="W57" i="4"/>
  <c r="W66" i="4"/>
  <c r="W71" i="4"/>
  <c r="W36" i="2"/>
  <c r="AE35" i="2"/>
  <c r="AF33" i="2"/>
  <c r="C34" i="2"/>
  <c r="D35" i="2" s="1"/>
  <c r="U17" i="2"/>
  <c r="V18" i="2" s="1"/>
  <c r="AE18" i="2" s="1"/>
  <c r="AE17" i="2"/>
  <c r="W18" i="2"/>
  <c r="M16" i="2"/>
  <c r="E17" i="2"/>
  <c r="F18" i="2" s="1"/>
  <c r="C16" i="2"/>
  <c r="D17" i="2" s="1"/>
  <c r="N15" i="2"/>
  <c r="T15" i="2" s="1"/>
  <c r="AF15" i="2" s="1"/>
  <c r="AG15" i="2" s="1"/>
  <c r="AG33" i="2" l="1"/>
  <c r="E36" i="2"/>
  <c r="M35" i="2"/>
  <c r="N35" i="2" s="1"/>
  <c r="T35" i="2" s="1"/>
  <c r="U36" i="2" s="1"/>
  <c r="U18" i="2"/>
  <c r="N16" i="2"/>
  <c r="T16" i="2" s="1"/>
  <c r="AF16" i="2" s="1"/>
  <c r="AG16" i="2" s="1"/>
  <c r="C17" i="2"/>
  <c r="D18" i="2" s="1"/>
  <c r="M18" i="2" s="1"/>
  <c r="N18" i="2" s="1"/>
  <c r="T18" i="2" s="1"/>
  <c r="AF18" i="2" s="1"/>
  <c r="AG18" i="2" s="1"/>
  <c r="E18" i="2"/>
  <c r="M17" i="2"/>
  <c r="AF35" i="2" l="1"/>
  <c r="C36" i="2"/>
  <c r="A39" i="2"/>
  <c r="C18" i="2"/>
  <c r="N17" i="2"/>
  <c r="T17" i="2" s="1"/>
  <c r="AF17" i="2" s="1"/>
  <c r="AG17" i="2" s="1"/>
  <c r="S22" i="2" s="1"/>
  <c r="AG35" i="2" l="1"/>
  <c r="S40" i="2" s="1"/>
  <c r="S39" i="2"/>
  <c r="S21" i="2"/>
  <c r="A2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<sst xmlns="http://schemas.openxmlformats.org/spreadsheetml/2006/main" count="242" uniqueCount="151">
  <si>
    <t>Изобразить вид кодовой последовательности передаваемого сообщения, приведенного в таблице, для нижеперечисленных кодов</t>
  </si>
  <si>
    <t xml:space="preserve">№ </t>
  </si>
  <si>
    <t>Передаваемое сообщение</t>
  </si>
  <si>
    <t>000100100</t>
  </si>
  <si>
    <t>6. Потенциальный код 2В1Q</t>
  </si>
  <si>
    <t>2. Метод биполярного кодирования с альтернативной инверсией</t>
  </si>
  <si>
    <t>3. Потенциальный код с инверсией при единице</t>
  </si>
  <si>
    <t>4. Биполярный импульсный код</t>
  </si>
  <si>
    <t xml:space="preserve">1. Потенциальный код без возвращения к нулю   </t>
  </si>
  <si>
    <t xml:space="preserve">5. Манчестерский код </t>
  </si>
  <si>
    <t>Для кодирования 0
используется нулевой потенциал, а 1 кодируется либо положительным
потенциалом, либо отрицательным, при этом потенциал каждой новой
единицы противоположен потенциалу предыдущей</t>
  </si>
  <si>
    <t>Всего 2 уровня потенциала</t>
  </si>
  <si>
    <t>При передаче 0 потенциал не меняется, при передаче 1 меняется на противоположный</t>
  </si>
  <si>
    <t>Информация кодируется
перепадами потенциала, происходящими в середине каждого такта. 1
кодируется перепадом от низкого уровня сигнала к высокому</t>
  </si>
  <si>
    <t>+3</t>
  </si>
  <si>
    <t>+1</t>
  </si>
  <si>
    <t>-1</t>
  </si>
  <si>
    <t>-3</t>
  </si>
  <si>
    <t>Каждые два бита (2В) передаются за один такт сигналом, имеющим
четыре состояния (1Q). Паре бит 00 соответствует потенциал -2,5 В, паре бит
01 потенциал -0,833 В, паре 11 — потенциал +0,833 В, а паре 10 —
потенциал +2,5 В</t>
  </si>
  <si>
    <t>Сообщение a_k</t>
  </si>
  <si>
    <t>0000100100</t>
  </si>
  <si>
    <t>Отводы:</t>
  </si>
  <si>
    <t>2, 6, 10</t>
  </si>
  <si>
    <t>k</t>
  </si>
  <si>
    <t>a_k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</si>
  <si>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</si>
  <si>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</si>
  <si>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</si>
  <si>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</si>
  <si>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</si>
  <si>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</si>
  <si>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</si>
  <si>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</si>
  <si>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</si>
  <si>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</si>
  <si>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p_k</t>
  </si>
  <si>
    <t>b_k</t>
  </si>
  <si>
    <t>Последовательность на выходе скремблера b_k</t>
  </si>
  <si>
    <t>a'_k</t>
  </si>
  <si>
    <t>контроль</t>
  </si>
  <si>
    <t>Скремблирование</t>
  </si>
  <si>
    <t>Вариант 10, аддитивный скремблер</t>
  </si>
  <si>
    <t>сделать для самосинхронизирующегося</t>
  </si>
  <si>
    <t>xor</t>
  </si>
  <si>
    <t>Начальное состояние регистра: нули (установка не требуется)</t>
  </si>
  <si>
    <t>Дескремблирование СС</t>
  </si>
  <si>
    <t xml:space="preserve">Дескремблирование </t>
  </si>
  <si>
    <t>Самосинхронизирующийся скремблер</t>
  </si>
  <si>
    <t>Последовательность на выходе b_k (СС)</t>
  </si>
  <si>
    <t>Восстановленное сообщение</t>
  </si>
  <si>
    <t xml:space="preserve">                       </t>
  </si>
  <si>
    <t xml:space="preserve">в случае с СС на втором такте первый бит регистра равен выходному первого такта, </t>
  </si>
  <si>
    <t>а в случае с АД первый бит регистра равен не выходному первого такта, а результату XOR обратной связи без XOR с битом сообщения</t>
  </si>
  <si>
    <t>Начальная установка регистра 0101010101</t>
  </si>
  <si>
    <t>Начальная установка: 0101010101</t>
  </si>
  <si>
    <t>В соответствии с вариантом сформировать таблицу, в которой для заданного сообщения будет сформирована служебная информация. После этого изменить один из разрядов сообщения и продемонстрировать, как с помощью кода Хемминга будет обнаружена и справлена ошибка.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</si>
  <si>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</si>
  <si>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</si>
  <si>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</si>
  <si>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</si>
  <si>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</si>
  <si>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</si>
  <si>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</si>
  <si>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</si>
  <si>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</si>
  <si>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№ позиции</t>
  </si>
  <si>
    <t>входит в p1</t>
  </si>
  <si>
    <t>входит в p2</t>
  </si>
  <si>
    <t>входит в p4</t>
  </si>
  <si>
    <t>входит в p8</t>
  </si>
  <si>
    <t>тип</t>
  </si>
  <si>
    <t>значение бита</t>
  </si>
  <si>
    <t>Коды Хемминга (13,9)</t>
  </si>
  <si>
    <t>№</t>
  </si>
  <si>
    <t>Четность</t>
  </si>
  <si>
    <t>Информационные биты</t>
  </si>
  <si>
    <t>№ в дв. (8-4-2-1)</t>
  </si>
  <si>
    <t>Кодовое слово</t>
  </si>
  <si>
    <t>Обнаружение и исправление однократной ошибки</t>
  </si>
  <si>
    <t>передано</t>
  </si>
  <si>
    <t>p1</t>
  </si>
  <si>
    <t>p2</t>
  </si>
  <si>
    <t>p4</t>
  </si>
  <si>
    <t>p8</t>
  </si>
  <si>
    <t>исправлено</t>
  </si>
  <si>
    <t>s1 =</t>
  </si>
  <si>
    <t>s2 =</t>
  </si>
  <si>
    <t>s4 =</t>
  </si>
  <si>
    <t>s8 =</t>
  </si>
  <si>
    <t>Позиция искажённого бита</t>
  </si>
  <si>
    <t>Позиция исправления</t>
  </si>
  <si>
    <t>принято</t>
  </si>
  <si>
    <t>Контрольные биты p1..p8 = позиции 1,2,4,8.</t>
  </si>
  <si>
    <t>Синдром, проверка чётности групп по принятым битам</t>
  </si>
  <si>
    <t>Номер ошибочной позиции</t>
  </si>
  <si>
    <t>Синдром</t>
  </si>
  <si>
    <t>Исправленное кодовое слово</t>
  </si>
  <si>
    <t>Совпадает с переданным</t>
  </si>
  <si>
    <t>Извлечённое сообщение</t>
  </si>
  <si>
    <t>Сообщение восстановлено</t>
  </si>
  <si>
    <t>g =</t>
  </si>
  <si>
    <t>делимое:</t>
  </si>
  <si>
    <t>t</t>
  </si>
  <si>
    <t>b</t>
  </si>
  <si>
    <t>f</t>
  </si>
  <si>
    <t>r2</t>
  </si>
  <si>
    <t>r1</t>
  </si>
  <si>
    <t>r0</t>
  </si>
  <si>
    <t>Остаток R(X):</t>
  </si>
  <si>
    <t>Таблица вторичных кодов степеней двойки</t>
  </si>
  <si>
    <t>Биты полинома g3 g2 g1 g0</t>
  </si>
  <si>
    <t>ПР7. Вариант 10, образующий полином g(X)=X^3+X^2+1</t>
  </si>
  <si>
    <t>Вторичный код</t>
  </si>
  <si>
    <t>Первичный код (ПК)</t>
  </si>
  <si>
    <t>ПК bin</t>
  </si>
  <si>
    <t>ВК</t>
  </si>
  <si>
    <t>по mod 2 (ВК)</t>
  </si>
  <si>
    <t>МУМНОЖ(ПК; G)</t>
  </si>
  <si>
    <t>ПК</t>
  </si>
  <si>
    <t>ВК дел</t>
  </si>
  <si>
    <t>ВК умн</t>
  </si>
  <si>
    <t>Число 2: деление полиномов (делимое = инфо*X^3)</t>
  </si>
  <si>
    <t>Число 2: умножение полиномов инфо*g</t>
  </si>
  <si>
    <t>Число 1: умножение полиномов инфо*g</t>
  </si>
  <si>
    <t>Число 1: деление полиномов (делимое = инфо*X^3)</t>
  </si>
  <si>
    <t>Число 4: деление полиномов (делимое = инфо*X^3)</t>
  </si>
  <si>
    <t>Число 4: умножение полиномов инфо*g</t>
  </si>
  <si>
    <t>Число 8: умножение полиномов инфо*g</t>
  </si>
  <si>
    <t>Число 8: деление полиномов (делимое = инфо*X^3)</t>
  </si>
  <si>
    <t>Образующая матрица G</t>
  </si>
  <si>
    <t>Матрица первичных кодов 0..15 и матричный расчёт МУМНОЖ</t>
  </si>
  <si>
    <t>ПР8. Вариант 10, g=1101. Анализ циклического кода (7,4)</t>
  </si>
  <si>
    <t>вес</t>
  </si>
  <si>
    <t>число кодов</t>
  </si>
  <si>
    <t>q</t>
  </si>
  <si>
    <t>сдвиг</t>
  </si>
  <si>
    <t>кроме 0</t>
  </si>
  <si>
    <t>входит в диапазон</t>
  </si>
  <si>
    <t>Распределение по весам</t>
  </si>
  <si>
    <t>ВК bin</t>
  </si>
  <si>
    <t>ВК hex</t>
  </si>
  <si>
    <t>для линейного кода d_min = минимальный ненулевой вес</t>
  </si>
  <si>
    <t>Минимальное расстояние Хемминга</t>
  </si>
  <si>
    <t>Матрица межкодовых расстояний</t>
  </si>
  <si>
    <t>Номер по списку</t>
  </si>
  <si>
    <t>Cиндром</t>
  </si>
  <si>
    <t>Принято с ошибкой</t>
  </si>
  <si>
    <t>Ошибка в 3-м разряде принятого кода</t>
  </si>
  <si>
    <t>!= 000, ошибка</t>
  </si>
  <si>
    <t>Вторичный код (10)</t>
  </si>
  <si>
    <t>Остаток от дел. на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</si>
</sst>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4"/>
      <color theme="1"/>
      <name val="Times New Roman"/>
      <family val="2"/>
      <charset val="204"/>
    </font>
    <font>
      <sz val="14"/>
      <color rgb="FFFF0000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2"/>
      <color theme="1"/>
      <name val="Times New Roman"/>
      <family val="1"/>
      <charset val="204"/>
    </font>
    <font>
      <b/>
      <sz val="13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i/>
      <sz val="14"/>
      <name val="Times New Roman"/>
      <family val="1"/>
      <charset val="204"/>
    </font>
    <font>
      <b/>
      <sz val="14"/>
      <color rgb="FFC00000"/>
      <name val="Times New Roman"/>
      <family val="1"/>
      <charset val="204"/>
    </font>
    <font>
      <sz val="14"/>
      <name val="Times New Roman"/>
      <family val="1"/>
      <charset val="204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DEBF7"/>
        <bgColor rgb="FFFFFFFF"/>
      </patternFill>
    </fill>
    <fill>
      <patternFill patternType="solid">
        <fgColor rgb="FFFFF2CC"/>
        <bgColor rgb="FFFFFFFF"/>
      </patternFill>
    </fill>
    <fill>
      <patternFill patternType="solid">
        <fgColor rgb="FFFCE4D6"/>
        <bgColor rgb="FFFFFFFF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thick">
        <color indexed="64"/>
      </right>
      <top/>
      <bottom style="dotted">
        <color indexed="64"/>
      </bottom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medium">
        <color indexed="64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indexed="64"/>
      </top>
      <bottom style="thin">
        <color rgb="FF999999"/>
      </bottom>
      <diagonal/>
    </border>
    <border>
      <left style="thin">
        <color rgb="FF999999"/>
      </left>
      <right style="medium">
        <color indexed="64"/>
      </right>
      <top style="medium">
        <color indexed="64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indexed="64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thin">
        <color rgb="FF999999"/>
      </top>
      <bottom style="medium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indexed="64"/>
      </bottom>
      <diagonal/>
    </border>
    <border>
      <left style="thin">
        <color rgb="FF999999"/>
      </left>
      <right style="medium">
        <color indexed="64"/>
      </right>
      <top style="thin">
        <color rgb="FF999999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49" fontId="0" fillId="0" borderId="0" xfId="0" applyNumberFormat="1"/>
    <xf numFmtId="0" fontId="0" fillId="0" borderId="1" xfId="0" applyBorder="1"/>
    <xf numFmtId="3" fontId="0" fillId="0" borderId="1" xfId="0" applyNumberFormat="1" applyBorder="1"/>
    <xf numFmtId="49" fontId="0" fillId="0" borderId="1" xfId="0" applyNumberFormat="1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1" fillId="2" borderId="4" xfId="0" applyFont="1" applyFill="1" applyBorder="1"/>
    <xf numFmtId="0" fontId="0" fillId="2" borderId="5" xfId="0" applyFill="1" applyBorder="1"/>
    <xf numFmtId="0" fontId="0" fillId="2" borderId="0" xfId="0" applyFill="1"/>
    <xf numFmtId="0" fontId="0" fillId="2" borderId="9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9" xfId="0" applyBorder="1"/>
    <xf numFmtId="0" fontId="0" fillId="0" borderId="8" xfId="0" applyBorder="1"/>
    <xf numFmtId="0" fontId="0" fillId="0" borderId="3" xfId="0" applyBorder="1"/>
    <xf numFmtId="0" fontId="0" fillId="0" borderId="6" xfId="0" applyBorder="1"/>
    <xf numFmtId="0" fontId="0" fillId="0" borderId="4" xfId="0" applyBorder="1"/>
    <xf numFmtId="0" fontId="0" fillId="3" borderId="0" xfId="0" applyFill="1" applyAlignment="1">
      <alignment horizontal="center" vertical="center"/>
    </xf>
    <xf numFmtId="0" fontId="0" fillId="3" borderId="6" xfId="0" applyFill="1" applyBorder="1"/>
    <xf numFmtId="0" fontId="0" fillId="3" borderId="7" xfId="0" applyFill="1" applyBorder="1"/>
    <xf numFmtId="0" fontId="0" fillId="3" borderId="0" xfId="0" applyFill="1"/>
    <xf numFmtId="0" fontId="0" fillId="3" borderId="9" xfId="0" applyFill="1" applyBorder="1"/>
    <xf numFmtId="0" fontId="0" fillId="3" borderId="5" xfId="0" applyFill="1" applyBorder="1"/>
    <xf numFmtId="0" fontId="0" fillId="3" borderId="4" xfId="0" applyFill="1" applyBorder="1"/>
    <xf numFmtId="0" fontId="0" fillId="3" borderId="8" xfId="0" applyFill="1" applyBorder="1"/>
    <xf numFmtId="0" fontId="0" fillId="2" borderId="0" xfId="0" applyFill="1" applyAlignment="1">
      <alignment horizontal="center" vertical="center"/>
    </xf>
    <xf numFmtId="0" fontId="0" fillId="2" borderId="6" xfId="0" applyFill="1" applyBorder="1"/>
    <xf numFmtId="0" fontId="0" fillId="2" borderId="4" xfId="0" applyFill="1" applyBorder="1"/>
    <xf numFmtId="0" fontId="0" fillId="3" borderId="3" xfId="0" applyFill="1" applyBorder="1"/>
    <xf numFmtId="0" fontId="0" fillId="2" borderId="3" xfId="0" applyFill="1" applyBorder="1"/>
    <xf numFmtId="0" fontId="1" fillId="0" borderId="0" xfId="0" applyFont="1" applyAlignment="1">
      <alignment horizontal="center" vertical="center"/>
    </xf>
    <xf numFmtId="49" fontId="0" fillId="0" borderId="10" xfId="0" applyNumberFormat="1" applyBorder="1"/>
    <xf numFmtId="0" fontId="0" fillId="2" borderId="10" xfId="0" applyFill="1" applyBorder="1"/>
    <xf numFmtId="0" fontId="0" fillId="3" borderId="10" xfId="0" applyFill="1" applyBorder="1"/>
    <xf numFmtId="0" fontId="0" fillId="2" borderId="11" xfId="0" applyFill="1" applyBorder="1"/>
    <xf numFmtId="0" fontId="0" fillId="3" borderId="12" xfId="0" applyFill="1" applyBorder="1"/>
    <xf numFmtId="0" fontId="0" fillId="3" borderId="11" xfId="0" applyFill="1" applyBorder="1"/>
    <xf numFmtId="0" fontId="0" fillId="0" borderId="12" xfId="0" applyBorder="1"/>
    <xf numFmtId="0" fontId="0" fillId="0" borderId="10" xfId="0" applyBorder="1"/>
    <xf numFmtId="49" fontId="0" fillId="0" borderId="2" xfId="0" applyNumberFormat="1" applyBorder="1"/>
    <xf numFmtId="0" fontId="0" fillId="2" borderId="2" xfId="0" applyFill="1" applyBorder="1"/>
    <xf numFmtId="0" fontId="0" fillId="3" borderId="2" xfId="0" applyFill="1" applyBorder="1"/>
    <xf numFmtId="0" fontId="0" fillId="2" borderId="13" xfId="0" applyFill="1" applyBorder="1"/>
    <xf numFmtId="0" fontId="0" fillId="3" borderId="13" xfId="0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7" borderId="0" xfId="0" applyFont="1" applyFill="1"/>
    <xf numFmtId="0" fontId="5" fillId="7" borderId="0" xfId="0" applyFont="1" applyFill="1"/>
    <xf numFmtId="0" fontId="8" fillId="4" borderId="14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9" fillId="0" borderId="0" xfId="0" applyFont="1"/>
    <xf numFmtId="0" fontId="9" fillId="8" borderId="14" xfId="0" applyFont="1" applyFill="1" applyBorder="1" applyAlignment="1">
      <alignment horizontal="center" vertical="center"/>
    </xf>
    <xf numFmtId="0" fontId="5" fillId="8" borderId="0" xfId="0" applyFont="1" applyFill="1"/>
    <xf numFmtId="0" fontId="6" fillId="5" borderId="0" xfId="0" applyFont="1" applyFill="1"/>
    <xf numFmtId="0" fontId="9" fillId="5" borderId="0" xfId="0" applyFont="1" applyFill="1"/>
    <xf numFmtId="0" fontId="10" fillId="0" borderId="0" xfId="0" applyFont="1"/>
    <xf numFmtId="0" fontId="9" fillId="9" borderId="0" xfId="0" applyFont="1" applyFill="1"/>
    <xf numFmtId="0" fontId="9" fillId="7" borderId="0" xfId="0" applyFont="1" applyFill="1"/>
    <xf numFmtId="1" fontId="9" fillId="8" borderId="14" xfId="0" applyNumberFormat="1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7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/>
    <xf numFmtId="3" fontId="9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/>
    <xf numFmtId="0" fontId="8" fillId="0" borderId="0" xfId="0" applyFont="1"/>
    <xf numFmtId="0" fontId="12" fillId="0" borderId="0" xfId="0" applyFont="1" applyAlignment="1">
      <alignment horizontal="center" vertical="center"/>
    </xf>
    <xf numFmtId="0" fontId="14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3" fillId="11" borderId="0" xfId="0" applyFont="1" applyFill="1" applyAlignment="1">
      <alignment horizontal="center"/>
    </xf>
    <xf numFmtId="0" fontId="13" fillId="11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 wrapText="1"/>
    </xf>
    <xf numFmtId="0" fontId="9" fillId="0" borderId="26" xfId="0" applyFont="1" applyBorder="1" applyAlignment="1">
      <alignment horizontal="left" vertical="center"/>
    </xf>
    <xf numFmtId="0" fontId="8" fillId="4" borderId="27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29" xfId="0" applyFont="1" applyFill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6" borderId="0" xfId="0" applyFont="1" applyFill="1"/>
    <xf numFmtId="0" fontId="14" fillId="6" borderId="0" xfId="0" applyFont="1" applyFill="1"/>
    <xf numFmtId="0" fontId="8" fillId="5" borderId="0" xfId="0" applyFont="1" applyFill="1"/>
    <xf numFmtId="0" fontId="14" fillId="5" borderId="0" xfId="0" applyFont="1" applyFill="1"/>
    <xf numFmtId="0" fontId="9" fillId="5" borderId="16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4" borderId="35" xfId="0" applyFont="1" applyFill="1" applyBorder="1" applyAlignment="1">
      <alignment horizontal="center" wrapText="1"/>
    </xf>
    <xf numFmtId="0" fontId="9" fillId="12" borderId="35" xfId="0" applyFont="1" applyFill="1" applyBorder="1" applyAlignment="1">
      <alignment horizontal="center" vertical="center"/>
    </xf>
    <xf numFmtId="0" fontId="9" fillId="11" borderId="35" xfId="0" applyFont="1" applyFill="1" applyBorder="1" applyAlignment="1">
      <alignment horizontal="center" vertical="center"/>
    </xf>
    <xf numFmtId="0" fontId="12" fillId="0" borderId="0" xfId="0" applyFont="1"/>
    <xf numFmtId="0" fontId="9" fillId="8" borderId="35" xfId="0" applyFont="1" applyFill="1" applyBorder="1" applyAlignment="1">
      <alignment horizontal="center" vertical="center"/>
    </xf>
    <xf numFmtId="0" fontId="9" fillId="8" borderId="0" xfId="0" applyFont="1" applyFill="1"/>
    <xf numFmtId="0" fontId="9" fillId="7" borderId="0" xfId="0" applyFont="1" applyFill="1" applyAlignment="1">
      <alignment horizontal="left" vertical="center"/>
    </xf>
    <xf numFmtId="0" fontId="9" fillId="8" borderId="0" xfId="0" applyFont="1" applyFill="1" applyAlignment="1">
      <alignment horizontal="center" vertical="center"/>
    </xf>
    <xf numFmtId="0" fontId="9" fillId="8" borderId="30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31" xfId="0" applyFont="1" applyFill="1" applyBorder="1" applyAlignment="1">
      <alignment horizontal="center" vertical="center"/>
    </xf>
    <xf numFmtId="0" fontId="9" fillId="5" borderId="35" xfId="0" applyFont="1" applyFill="1" applyBorder="1" applyAlignment="1">
      <alignment horizontal="center" vertical="center"/>
    </xf>
    <xf numFmtId="0" fontId="9" fillId="5" borderId="30" xfId="0" applyFont="1" applyFill="1" applyBorder="1" applyAlignment="1">
      <alignment horizontal="center" vertical="center"/>
    </xf>
    <xf numFmtId="0" fontId="9" fillId="5" borderId="32" xfId="0" applyFont="1" applyFill="1" applyBorder="1" applyAlignment="1">
      <alignment horizontal="center" vertical="center"/>
    </xf>
    <xf numFmtId="0" fontId="9" fillId="14" borderId="0" xfId="0" applyFont="1" applyFill="1"/>
    <xf numFmtId="0" fontId="9" fillId="15" borderId="0" xfId="0" applyFont="1" applyFill="1"/>
    <xf numFmtId="0" fontId="9" fillId="16" borderId="0" xfId="0" applyFont="1" applyFill="1"/>
    <xf numFmtId="0" fontId="9" fillId="13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9" fillId="13" borderId="1" xfId="0" applyFont="1" applyFill="1" applyBorder="1" applyAlignment="1">
      <alignment horizontal="center" vertical="center" wrapText="1"/>
    </xf>
    <xf numFmtId="0" fontId="9" fillId="13" borderId="36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220981</xdr:rowOff>
    </xdr:from>
    <xdr:to>
      <xdr:col>15</xdr:col>
      <xdr:colOff>723900</xdr:colOff>
      <xdr:row>4</xdr:row>
      <xdr:rowOff>6369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8590FE2-0CA8-84BF-CEF6-123C620A3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220981"/>
          <a:ext cx="5829299" cy="699788"/>
        </a:xfrm>
        <a:prstGeom prst="rect">
          <a:avLst/>
        </a:prstGeom>
      </xdr:spPr>
    </xdr:pic>
    <xdr:clientData/>
  </xdr:twoCellAnchor>
  <xdr:twoCellAnchor editAs="oneCell">
    <xdr:from>
      <xdr:col>17</xdr:col>
      <xdr:colOff>1</xdr:colOff>
      <xdr:row>0</xdr:row>
      <xdr:rowOff>0</xdr:rowOff>
    </xdr:from>
    <xdr:to>
      <xdr:col>27</xdr:col>
      <xdr:colOff>228600</xdr:colOff>
      <xdr:row>4</xdr:row>
      <xdr:rowOff>6714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F52C44B-2B6D-BE23-00BC-8CE06F88B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1" y="0"/>
          <a:ext cx="4152899" cy="959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E898-74F7-484D-A3C9-01209D072DE3}">
  <dimension ref="A1:U45"/>
  <sheetViews>
    <sheetView workbookViewId="0">
      <selection activeCell="A2" sqref="A2:B3"/>
    </sheetView>
  </sheetViews>
  <sheetFormatPr defaultRowHeight="18" x14ac:dyDescent="0.35"/>
  <cols>
    <col min="1" max="1" width="3.36328125" customWidth="1"/>
    <col min="2" max="2" width="24.1796875" customWidth="1"/>
    <col min="3" max="3" width="3.90625" customWidth="1"/>
    <col min="4" max="21" width="2.6328125" customWidth="1"/>
  </cols>
  <sheetData>
    <row r="1" spans="1:12" x14ac:dyDescent="0.35">
      <c r="A1" t="s">
        <v>0</v>
      </c>
    </row>
    <row r="2" spans="1:12" x14ac:dyDescent="0.35">
      <c r="A2" s="2" t="s">
        <v>1</v>
      </c>
      <c r="B2" s="2" t="s">
        <v>2</v>
      </c>
      <c r="D2" s="5">
        <v>1</v>
      </c>
      <c r="E2" s="5">
        <v>2</v>
      </c>
      <c r="F2" s="5">
        <v>3</v>
      </c>
      <c r="G2" s="5">
        <v>4</v>
      </c>
      <c r="H2" s="5">
        <v>5</v>
      </c>
      <c r="I2" s="5">
        <v>6</v>
      </c>
      <c r="J2" s="5">
        <v>7</v>
      </c>
      <c r="K2" s="5">
        <v>8</v>
      </c>
      <c r="L2" s="5">
        <v>9</v>
      </c>
    </row>
    <row r="3" spans="1:12" x14ac:dyDescent="0.35">
      <c r="A3" s="3">
        <v>10</v>
      </c>
      <c r="B3" s="4" t="s">
        <v>3</v>
      </c>
      <c r="D3" t="s">
        <v>8</v>
      </c>
    </row>
    <row r="4" spans="1:12" x14ac:dyDescent="0.35">
      <c r="D4" s="5" t="str">
        <f>MID($B$3,D$2,1)</f>
        <v>0</v>
      </c>
      <c r="E4" s="5" t="str">
        <f t="shared" ref="E4:L4" si="0">MID($B$3,E$2,1)</f>
        <v>0</v>
      </c>
      <c r="F4" s="5" t="str">
        <f t="shared" si="0"/>
        <v>0</v>
      </c>
      <c r="G4" s="5" t="str">
        <f t="shared" si="0"/>
        <v>1</v>
      </c>
      <c r="H4" s="5" t="str">
        <f>MID($B$3,H$2,1)</f>
        <v>0</v>
      </c>
      <c r="I4" s="5" t="str">
        <f t="shared" si="0"/>
        <v>0</v>
      </c>
      <c r="J4" s="5" t="str">
        <f t="shared" si="0"/>
        <v>1</v>
      </c>
      <c r="K4" s="5" t="str">
        <f>MID($B$3,K$2,1)</f>
        <v>0</v>
      </c>
      <c r="L4" s="5" t="str">
        <f t="shared" si="0"/>
        <v>0</v>
      </c>
    </row>
    <row r="5" spans="1:12" ht="18.600000000000001" thickBot="1" x14ac:dyDescent="0.4">
      <c r="B5" s="149" t="s">
        <v>11</v>
      </c>
      <c r="D5" s="8"/>
      <c r="E5" s="8"/>
      <c r="F5" s="8"/>
      <c r="H5" s="8"/>
      <c r="I5" s="8"/>
      <c r="K5" s="8"/>
      <c r="L5" s="8"/>
    </row>
    <row r="6" spans="1:12" ht="19.2" thickTop="1" thickBot="1" x14ac:dyDescent="0.4">
      <c r="B6" s="149"/>
      <c r="F6" s="16"/>
      <c r="G6" s="20"/>
      <c r="I6" s="16"/>
      <c r="J6" s="20"/>
    </row>
    <row r="7" spans="1:12" ht="18.600000000000001" thickTop="1" x14ac:dyDescent="0.35">
      <c r="B7" s="149"/>
    </row>
    <row r="9" spans="1:12" ht="18.75" customHeight="1" x14ac:dyDescent="0.35">
      <c r="B9" s="148" t="s">
        <v>10</v>
      </c>
      <c r="D9" t="s">
        <v>5</v>
      </c>
    </row>
    <row r="10" spans="1:12" x14ac:dyDescent="0.35">
      <c r="B10" s="148"/>
      <c r="D10" s="5" t="str">
        <f>MID($B$3,D$2,1)</f>
        <v>0</v>
      </c>
      <c r="E10" s="5" t="str">
        <f t="shared" ref="E10:L10" si="1">MID($B$3,E$2,1)</f>
        <v>0</v>
      </c>
      <c r="F10" s="5" t="str">
        <f t="shared" si="1"/>
        <v>0</v>
      </c>
      <c r="G10" s="5" t="str">
        <f t="shared" si="1"/>
        <v>1</v>
      </c>
      <c r="H10" s="5" t="str">
        <f>MID($B$3,H$2,1)</f>
        <v>0</v>
      </c>
      <c r="I10" s="5" t="str">
        <f t="shared" si="1"/>
        <v>0</v>
      </c>
      <c r="J10" s="5" t="str">
        <f t="shared" si="1"/>
        <v>1</v>
      </c>
      <c r="K10" s="5" t="str">
        <f>MID($B$3,K$2,1)</f>
        <v>0</v>
      </c>
      <c r="L10" s="5" t="str">
        <f t="shared" si="1"/>
        <v>0</v>
      </c>
    </row>
    <row r="11" spans="1:12" ht="18.600000000000001" thickBot="1" x14ac:dyDescent="0.4">
      <c r="B11" s="148"/>
      <c r="G11" s="8"/>
    </row>
    <row r="12" spans="1:12" ht="19.2" thickTop="1" thickBot="1" x14ac:dyDescent="0.4">
      <c r="B12" s="148"/>
      <c r="D12" s="8"/>
      <c r="E12" s="8"/>
      <c r="F12" s="17"/>
      <c r="G12" s="19"/>
      <c r="H12" s="9"/>
      <c r="I12" s="8"/>
      <c r="K12" s="8"/>
      <c r="L12" s="8"/>
    </row>
    <row r="13" spans="1:12" ht="19.2" thickTop="1" thickBot="1" x14ac:dyDescent="0.4">
      <c r="B13" s="148"/>
      <c r="I13" s="16"/>
      <c r="J13" s="20"/>
    </row>
    <row r="14" spans="1:12" ht="18.600000000000001" thickTop="1" x14ac:dyDescent="0.35">
      <c r="B14" s="148"/>
    </row>
    <row r="15" spans="1:12" x14ac:dyDescent="0.35">
      <c r="B15" s="148"/>
    </row>
    <row r="16" spans="1:12" x14ac:dyDescent="0.35">
      <c r="B16" s="6"/>
    </row>
    <row r="17" spans="2:21" x14ac:dyDescent="0.35">
      <c r="B17" s="148" t="s">
        <v>12</v>
      </c>
      <c r="D17" t="s">
        <v>6</v>
      </c>
    </row>
    <row r="18" spans="2:21" x14ac:dyDescent="0.35">
      <c r="B18" s="148"/>
      <c r="D18" s="5" t="str">
        <f>MID($B$3,D$2,1)</f>
        <v>0</v>
      </c>
      <c r="E18" s="5" t="str">
        <f t="shared" ref="E18:L18" si="2">MID($B$3,E$2,1)</f>
        <v>0</v>
      </c>
      <c r="F18" s="5" t="str">
        <f t="shared" si="2"/>
        <v>0</v>
      </c>
      <c r="G18" s="5" t="str">
        <f t="shared" si="2"/>
        <v>1</v>
      </c>
      <c r="H18" s="5" t="str">
        <f>MID($B$3,H$2,1)</f>
        <v>0</v>
      </c>
      <c r="I18" s="5" t="str">
        <f t="shared" si="2"/>
        <v>0</v>
      </c>
      <c r="J18" s="5" t="str">
        <f t="shared" si="2"/>
        <v>1</v>
      </c>
      <c r="K18" s="5" t="str">
        <f>MID($B$3,K$2,1)</f>
        <v>0</v>
      </c>
      <c r="L18" s="5" t="str">
        <f t="shared" si="2"/>
        <v>0</v>
      </c>
    </row>
    <row r="19" spans="2:21" ht="18.75" customHeight="1" thickBot="1" x14ac:dyDescent="0.4">
      <c r="B19" s="148"/>
      <c r="D19" s="8"/>
      <c r="E19" s="8"/>
      <c r="F19" s="8"/>
      <c r="J19" s="8"/>
      <c r="K19" s="8"/>
      <c r="L19" s="8"/>
    </row>
    <row r="20" spans="2:21" ht="19.2" thickTop="1" thickBot="1" x14ac:dyDescent="0.4">
      <c r="B20" s="148"/>
      <c r="F20" s="16"/>
      <c r="G20" s="9"/>
      <c r="H20" s="8"/>
      <c r="I20" s="17"/>
    </row>
    <row r="21" spans="2:21" ht="18.600000000000001" thickTop="1" x14ac:dyDescent="0.35">
      <c r="B21" s="6"/>
    </row>
    <row r="22" spans="2:21" x14ac:dyDescent="0.35">
      <c r="B22" s="6"/>
      <c r="D22" t="s">
        <v>7</v>
      </c>
    </row>
    <row r="23" spans="2:21" ht="18.600000000000001" thickBot="1" x14ac:dyDescent="0.4">
      <c r="D23" s="146" t="str">
        <f>MID($B$3,D$2,1)</f>
        <v>0</v>
      </c>
      <c r="E23" s="146"/>
      <c r="F23" s="147" t="str">
        <f>MID($B$3,E$2,1)</f>
        <v>0</v>
      </c>
      <c r="G23" s="147"/>
      <c r="H23" s="146" t="str">
        <f>MID($B$3,F$2,1)</f>
        <v>0</v>
      </c>
      <c r="I23" s="146"/>
      <c r="J23" s="147" t="str">
        <f>MID($B$3,G$2,1)</f>
        <v>1</v>
      </c>
      <c r="K23" s="147"/>
      <c r="L23" s="146" t="str">
        <f>MID($B$3,H$2,1)</f>
        <v>0</v>
      </c>
      <c r="M23" s="146"/>
      <c r="N23" s="147" t="str">
        <f>MID($B$3,I$2,1)</f>
        <v>0</v>
      </c>
      <c r="O23" s="147"/>
      <c r="P23" s="146" t="str">
        <f>MID($B$3,J$2,1)</f>
        <v>1</v>
      </c>
      <c r="Q23" s="146"/>
      <c r="R23" s="147" t="str">
        <f>MID($B$3,K$2,1)</f>
        <v>0</v>
      </c>
      <c r="S23" s="147"/>
      <c r="T23" s="146" t="str">
        <f>MID($B$3,L$2,1)</f>
        <v>0</v>
      </c>
      <c r="U23" s="146"/>
    </row>
    <row r="24" spans="2:21" ht="19.2" thickTop="1" thickBot="1" x14ac:dyDescent="0.4">
      <c r="D24" s="12"/>
      <c r="E24" s="11"/>
      <c r="F24" s="24"/>
      <c r="G24" s="26"/>
      <c r="H24" s="12"/>
      <c r="I24" s="15"/>
      <c r="J24" s="22"/>
      <c r="K24" s="23"/>
      <c r="L24" s="12"/>
      <c r="M24" s="11"/>
      <c r="N24" s="24"/>
      <c r="O24" s="28"/>
      <c r="P24" s="30"/>
      <c r="Q24" s="14"/>
      <c r="R24" s="24"/>
      <c r="S24" s="26"/>
      <c r="T24" s="12"/>
      <c r="U24" s="11"/>
    </row>
    <row r="25" spans="2:21" ht="19.2" thickTop="1" thickBot="1" x14ac:dyDescent="0.4">
      <c r="C25" s="18"/>
      <c r="D25" s="10"/>
      <c r="E25" s="30"/>
      <c r="F25" s="27"/>
      <c r="G25" s="22"/>
      <c r="H25" s="31"/>
      <c r="I25" s="12"/>
      <c r="J25" s="24"/>
      <c r="K25" s="25"/>
      <c r="L25" s="31"/>
      <c r="M25" s="30"/>
      <c r="N25" s="27"/>
      <c r="O25" s="24"/>
      <c r="P25" s="12"/>
      <c r="Q25" s="13"/>
      <c r="R25" s="27"/>
      <c r="S25" s="22"/>
      <c r="T25" s="31"/>
      <c r="U25" s="12"/>
    </row>
    <row r="26" spans="2:21" ht="18.600000000000001" thickTop="1" x14ac:dyDescent="0.35">
      <c r="D26" s="12"/>
      <c r="E26" s="12"/>
      <c r="F26" s="24"/>
      <c r="G26" s="24"/>
      <c r="H26" s="12"/>
      <c r="I26" s="12"/>
      <c r="J26" s="24"/>
      <c r="K26" s="24"/>
      <c r="L26" s="12"/>
      <c r="M26" s="12"/>
      <c r="N26" s="24"/>
      <c r="O26" s="24"/>
      <c r="P26" s="12"/>
      <c r="Q26" s="12"/>
      <c r="R26" s="24"/>
      <c r="S26" s="24"/>
      <c r="T26" s="12"/>
      <c r="U26" s="12"/>
    </row>
    <row r="28" spans="2:21" x14ac:dyDescent="0.35">
      <c r="B28" s="150" t="s">
        <v>13</v>
      </c>
      <c r="D28" t="s">
        <v>9</v>
      </c>
    </row>
    <row r="29" spans="2:21" x14ac:dyDescent="0.35">
      <c r="B29" s="151"/>
      <c r="D29" s="146" t="str">
        <f>MID($B$3,D$2,1)</f>
        <v>0</v>
      </c>
      <c r="E29" s="146"/>
      <c r="F29" s="147" t="str">
        <f>MID($B$3,E$2,1)</f>
        <v>0</v>
      </c>
      <c r="G29" s="147"/>
      <c r="H29" s="146" t="str">
        <f>MID($B$3,F$2,1)</f>
        <v>0</v>
      </c>
      <c r="I29" s="146"/>
      <c r="J29" s="147" t="str">
        <f>MID($B$3,G$2,1)</f>
        <v>1</v>
      </c>
      <c r="K29" s="147"/>
      <c r="L29" s="146" t="str">
        <f>MID($B$3,H$2,1)</f>
        <v>0</v>
      </c>
      <c r="M29" s="146"/>
      <c r="N29" s="147" t="str">
        <f>MID($B$3,I$2,1)</f>
        <v>0</v>
      </c>
      <c r="O29" s="147"/>
      <c r="P29" s="146" t="str">
        <f>MID($B$3,J$2,1)</f>
        <v>1</v>
      </c>
      <c r="Q29" s="146"/>
      <c r="R29" s="147" t="str">
        <f>MID($B$3,K$2,1)</f>
        <v>0</v>
      </c>
      <c r="S29" s="147"/>
      <c r="T29" s="146" t="str">
        <f>MID($B$3,L$2,1)</f>
        <v>0</v>
      </c>
      <c r="U29" s="146"/>
    </row>
    <row r="30" spans="2:21" ht="18.600000000000001" thickBot="1" x14ac:dyDescent="0.4">
      <c r="B30" s="151"/>
      <c r="D30" s="11"/>
      <c r="E30" s="12"/>
      <c r="F30" s="26"/>
      <c r="G30" s="24"/>
      <c r="H30" s="11"/>
      <c r="I30" s="12"/>
      <c r="J30" s="24"/>
      <c r="K30" s="26"/>
      <c r="L30" s="11"/>
      <c r="M30" s="12"/>
      <c r="N30" s="26"/>
      <c r="O30" s="24"/>
      <c r="P30" s="12"/>
      <c r="Q30" s="11"/>
      <c r="R30" s="26"/>
      <c r="S30" s="24"/>
      <c r="T30" s="11"/>
      <c r="U30" s="12"/>
    </row>
    <row r="31" spans="2:21" ht="19.2" thickTop="1" thickBot="1" x14ac:dyDescent="0.4">
      <c r="B31" s="151"/>
      <c r="D31" s="13"/>
      <c r="E31" s="31"/>
      <c r="F31" s="22"/>
      <c r="G31" s="27"/>
      <c r="H31" s="30"/>
      <c r="I31" s="14"/>
      <c r="J31" s="28"/>
      <c r="K31" s="24"/>
      <c r="L31" s="13"/>
      <c r="M31" s="31"/>
      <c r="N31" s="22"/>
      <c r="O31" s="23"/>
      <c r="P31" s="15"/>
      <c r="Q31" s="12"/>
      <c r="R31" s="25"/>
      <c r="S31" s="27"/>
      <c r="T31" s="30"/>
      <c r="U31" s="14"/>
    </row>
    <row r="32" spans="2:21" ht="18.600000000000001" thickTop="1" x14ac:dyDescent="0.35">
      <c r="B32" s="151"/>
      <c r="D32" s="12"/>
      <c r="E32" s="12"/>
      <c r="F32" s="24"/>
      <c r="G32" s="24"/>
      <c r="H32" s="12"/>
      <c r="I32" s="12"/>
      <c r="J32" s="24"/>
      <c r="K32" s="24"/>
      <c r="L32" s="12"/>
      <c r="M32" s="12"/>
      <c r="N32" s="24"/>
      <c r="O32" s="24"/>
      <c r="P32" s="12"/>
      <c r="Q32" s="12"/>
      <c r="R32" s="24"/>
      <c r="S32" s="24"/>
      <c r="T32" s="12"/>
      <c r="U32" s="12"/>
    </row>
    <row r="34" spans="2:13" x14ac:dyDescent="0.35">
      <c r="B34" s="150" t="s">
        <v>18</v>
      </c>
      <c r="D34" t="s">
        <v>4</v>
      </c>
    </row>
    <row r="35" spans="2:13" x14ac:dyDescent="0.35">
      <c r="B35" s="151"/>
      <c r="D35" s="29" t="str">
        <f>MID($B$3,D$2,1)</f>
        <v>0</v>
      </c>
      <c r="E35" s="29" t="str">
        <f t="shared" ref="E35:L35" si="3">MID($B$3,E$2,1)</f>
        <v>0</v>
      </c>
      <c r="F35" s="21" t="str">
        <f t="shared" si="3"/>
        <v>0</v>
      </c>
      <c r="G35" s="21" t="str">
        <f t="shared" si="3"/>
        <v>1</v>
      </c>
      <c r="H35" s="29" t="str">
        <f>MID($B$3,H$2,1)</f>
        <v>0</v>
      </c>
      <c r="I35" s="29" t="str">
        <f t="shared" si="3"/>
        <v>0</v>
      </c>
      <c r="J35" s="21" t="str">
        <f t="shared" si="3"/>
        <v>1</v>
      </c>
      <c r="K35" s="21" t="str">
        <f>MID($B$3,K$2,1)</f>
        <v>0</v>
      </c>
      <c r="L35" s="5" t="str">
        <f t="shared" si="3"/>
        <v>0</v>
      </c>
      <c r="M35" s="34">
        <v>0</v>
      </c>
    </row>
    <row r="36" spans="2:13" ht="18.600000000000001" thickBot="1" x14ac:dyDescent="0.4">
      <c r="B36" s="151"/>
      <c r="C36" s="35" t="s">
        <v>14</v>
      </c>
      <c r="D36" s="36"/>
      <c r="E36" s="36"/>
      <c r="F36" s="37"/>
      <c r="G36" s="37"/>
      <c r="H36" s="36"/>
      <c r="I36" s="36"/>
      <c r="J36" s="26"/>
      <c r="K36" s="26"/>
      <c r="L36" s="42"/>
      <c r="M36" s="42"/>
    </row>
    <row r="37" spans="2:13" ht="18.600000000000001" thickTop="1" x14ac:dyDescent="0.35">
      <c r="B37" s="151"/>
      <c r="C37" s="1"/>
      <c r="D37" s="12"/>
      <c r="E37" s="12"/>
      <c r="F37" s="24"/>
      <c r="G37" s="24"/>
      <c r="H37" s="12"/>
      <c r="I37" s="33"/>
      <c r="J37" s="24"/>
      <c r="K37" s="25"/>
    </row>
    <row r="38" spans="2:13" x14ac:dyDescent="0.35">
      <c r="B38" s="151"/>
      <c r="C38" s="35" t="s">
        <v>15</v>
      </c>
      <c r="D38" s="36"/>
      <c r="E38" s="36"/>
      <c r="F38" s="37"/>
      <c r="G38" s="37"/>
      <c r="H38" s="36"/>
      <c r="I38" s="38"/>
      <c r="J38" s="24"/>
      <c r="K38" s="32"/>
      <c r="L38" s="41"/>
      <c r="M38" s="42"/>
    </row>
    <row r="39" spans="2:13" x14ac:dyDescent="0.35">
      <c r="B39" s="151"/>
      <c r="C39" s="43"/>
      <c r="D39" s="44"/>
      <c r="E39" s="44"/>
      <c r="F39" s="45"/>
      <c r="G39" s="45"/>
      <c r="H39" s="44"/>
      <c r="I39" s="46"/>
      <c r="J39" s="45"/>
      <c r="K39" s="47"/>
      <c r="L39" s="7"/>
      <c r="M39" s="7"/>
    </row>
    <row r="40" spans="2:13" ht="18.600000000000001" thickBot="1" x14ac:dyDescent="0.4">
      <c r="B40" s="151"/>
      <c r="C40" s="35" t="s">
        <v>16</v>
      </c>
      <c r="D40" s="36"/>
      <c r="E40" s="36"/>
      <c r="F40" s="26"/>
      <c r="G40" s="26"/>
      <c r="H40" s="36"/>
      <c r="I40" s="38"/>
      <c r="J40" s="24"/>
      <c r="K40" s="32"/>
      <c r="L40" s="41"/>
      <c r="M40" s="42"/>
    </row>
    <row r="41" spans="2:13" ht="18.600000000000001" thickTop="1" x14ac:dyDescent="0.35">
      <c r="B41" s="151"/>
      <c r="C41" s="1"/>
      <c r="D41" s="12"/>
      <c r="E41" s="33"/>
      <c r="F41" s="24"/>
      <c r="G41" s="25"/>
      <c r="H41" s="12"/>
      <c r="I41" s="33"/>
      <c r="J41" s="24"/>
      <c r="K41" s="32"/>
    </row>
    <row r="42" spans="2:13" ht="18.600000000000001" thickBot="1" x14ac:dyDescent="0.4">
      <c r="B42" s="151"/>
      <c r="C42" s="35" t="s">
        <v>17</v>
      </c>
      <c r="D42" s="11"/>
      <c r="E42" s="15"/>
      <c r="F42" s="39"/>
      <c r="G42" s="40"/>
      <c r="H42" s="14"/>
      <c r="I42" s="15"/>
      <c r="J42" s="39"/>
      <c r="K42" s="40"/>
      <c r="L42" s="9"/>
      <c r="M42" s="8"/>
    </row>
    <row r="43" spans="2:13" ht="18.600000000000001" thickTop="1" x14ac:dyDescent="0.35">
      <c r="C43" s="1"/>
    </row>
    <row r="44" spans="2:13" x14ac:dyDescent="0.35">
      <c r="C44" s="1"/>
    </row>
    <row r="45" spans="2:13" x14ac:dyDescent="0.35">
      <c r="C45" s="1"/>
    </row>
  </sheetData>
  <mergeCells count="23">
    <mergeCell ref="T29:U29"/>
    <mergeCell ref="B28:B32"/>
    <mergeCell ref="T23:U23"/>
    <mergeCell ref="B17:B20"/>
    <mergeCell ref="D29:E29"/>
    <mergeCell ref="F29:G29"/>
    <mergeCell ref="H29:I29"/>
    <mergeCell ref="J29:K29"/>
    <mergeCell ref="L29:M29"/>
    <mergeCell ref="D23:E23"/>
    <mergeCell ref="F23:G23"/>
    <mergeCell ref="H23:I23"/>
    <mergeCell ref="J23:K23"/>
    <mergeCell ref="L23:M23"/>
    <mergeCell ref="N23:O23"/>
    <mergeCell ref="N29:O29"/>
    <mergeCell ref="P29:Q29"/>
    <mergeCell ref="R29:S29"/>
    <mergeCell ref="B9:B15"/>
    <mergeCell ref="B5:B7"/>
    <mergeCell ref="B34:B42"/>
    <mergeCell ref="P23:Q23"/>
    <mergeCell ref="R23:S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E94F3-E7C0-44C1-A49C-026F0ADD0CC6}">
  <dimension ref="A1:AG45"/>
  <sheetViews>
    <sheetView workbookViewId="0">
      <selection activeCell="AG9" sqref="AG9"/>
    </sheetView>
  </sheetViews>
  <sheetFormatPr defaultColWidth="8.81640625" defaultRowHeight="18" x14ac:dyDescent="0.35"/>
  <cols>
    <col min="1" max="12" width="3.6328125" style="58" customWidth="1"/>
    <col min="13" max="13" width="4.08984375" style="58" customWidth="1"/>
    <col min="14" max="14" width="4.453125" style="58" customWidth="1"/>
    <col min="15" max="18" width="8.81640625" style="58"/>
    <col min="19" max="31" width="4.08984375" style="58" customWidth="1"/>
    <col min="32" max="32" width="4.6328125" style="58" customWidth="1"/>
    <col min="33" max="33" width="14.1796875" style="58" customWidth="1"/>
    <col min="34" max="16384" width="8.81640625" style="58"/>
  </cols>
  <sheetData>
    <row r="1" spans="1:33" x14ac:dyDescent="0.35">
      <c r="A1" s="58" t="s">
        <v>41</v>
      </c>
      <c r="J1" s="63" t="s">
        <v>42</v>
      </c>
    </row>
    <row r="5" spans="1:33" s="64" customFormat="1" x14ac:dyDescent="0.35"/>
    <row r="6" spans="1:33" x14ac:dyDescent="0.35">
      <c r="A6" s="48" t="s">
        <v>40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S6" s="48" t="s">
        <v>46</v>
      </c>
    </row>
    <row r="7" spans="1:33" x14ac:dyDescent="0.35">
      <c r="A7" s="50" t="s">
        <v>19</v>
      </c>
      <c r="B7" s="49"/>
      <c r="C7" s="49"/>
      <c r="D7" s="60" t="s">
        <v>20</v>
      </c>
      <c r="E7" s="60"/>
      <c r="F7" s="60"/>
      <c r="G7" s="50" t="s">
        <v>21</v>
      </c>
      <c r="H7" s="49"/>
      <c r="I7" s="49" t="s">
        <v>22</v>
      </c>
      <c r="J7" s="49"/>
      <c r="K7" s="50" t="s">
        <v>53</v>
      </c>
      <c r="L7" s="49"/>
      <c r="M7" s="49"/>
      <c r="N7" s="49"/>
      <c r="O7" s="49"/>
      <c r="P7" s="49"/>
      <c r="S7" s="50" t="s">
        <v>54</v>
      </c>
    </row>
    <row r="8" spans="1:33" x14ac:dyDescent="0.35">
      <c r="A8" s="53" t="s">
        <v>23</v>
      </c>
      <c r="B8" s="53" t="s">
        <v>24</v>
      </c>
      <c r="C8" s="53" t="s">
        <v>25</v>
      </c>
      <c r="D8" s="53" t="s">
        <v>26</v>
      </c>
      <c r="E8" s="53" t="s">
        <v>27</v>
      </c>
      <c r="F8" s="53" t="s">
        <v>28</v>
      </c>
      <c r="G8" s="53" t="s">
        <v>29</v>
      </c>
      <c r="H8" s="53" t="s">
        <v>30</v>
      </c>
      <c r="I8" s="53" t="s">
        <v>31</v>
      </c>
      <c r="J8" s="53" t="s">
        <v>32</v>
      </c>
      <c r="K8" s="53" t="s">
        <v>33</v>
      </c>
      <c r="L8" s="53" t="s">
        <v>34</v>
      </c>
      <c r="M8" s="53" t="s">
        <v>43</v>
      </c>
      <c r="N8" s="53" t="s">
        <v>36</v>
      </c>
      <c r="O8" s="49"/>
      <c r="P8" s="49"/>
      <c r="S8" s="53" t="s">
        <v>23</v>
      </c>
      <c r="T8" s="53" t="s">
        <v>36</v>
      </c>
      <c r="U8" s="53" t="s">
        <v>25</v>
      </c>
      <c r="V8" s="53" t="s">
        <v>26</v>
      </c>
      <c r="W8" s="53" t="s">
        <v>27</v>
      </c>
      <c r="X8" s="53" t="s">
        <v>28</v>
      </c>
      <c r="Y8" s="53" t="s">
        <v>29</v>
      </c>
      <c r="Z8" s="53" t="s">
        <v>30</v>
      </c>
      <c r="AA8" s="53" t="s">
        <v>31</v>
      </c>
      <c r="AB8" s="53" t="s">
        <v>32</v>
      </c>
      <c r="AC8" s="53" t="s">
        <v>33</v>
      </c>
      <c r="AD8" s="53" t="s">
        <v>34</v>
      </c>
      <c r="AE8" s="53" t="s">
        <v>35</v>
      </c>
      <c r="AF8" s="53" t="s">
        <v>38</v>
      </c>
      <c r="AG8" s="53" t="s">
        <v>39</v>
      </c>
    </row>
    <row r="9" spans="1:33" x14ac:dyDescent="0.35">
      <c r="A9" s="54">
        <v>1</v>
      </c>
      <c r="B9" s="66">
        <v>0</v>
      </c>
      <c r="C9" s="55">
        <v>0</v>
      </c>
      <c r="D9" s="56">
        <v>1</v>
      </c>
      <c r="E9" s="55">
        <v>0</v>
      </c>
      <c r="F9" s="55">
        <v>1</v>
      </c>
      <c r="G9" s="55">
        <v>0</v>
      </c>
      <c r="H9" s="56">
        <v>1</v>
      </c>
      <c r="I9" s="55">
        <v>0</v>
      </c>
      <c r="J9" s="55">
        <v>1</v>
      </c>
      <c r="K9" s="55">
        <v>0</v>
      </c>
      <c r="L9" s="56">
        <v>1</v>
      </c>
      <c r="M9" s="68">
        <f>_xlfn.BITXOR(D9,_xlfn.BITXOR(H9,L9))</f>
        <v>1</v>
      </c>
      <c r="N9" s="57">
        <f>_xlfn.BITXOR(B9,M9)</f>
        <v>1</v>
      </c>
      <c r="O9" s="49"/>
      <c r="P9" s="49"/>
      <c r="S9" s="54">
        <v>1</v>
      </c>
      <c r="T9" s="57">
        <f>N9</f>
        <v>1</v>
      </c>
      <c r="U9" s="55">
        <v>0</v>
      </c>
      <c r="V9" s="56">
        <v>1</v>
      </c>
      <c r="W9" s="55">
        <v>0</v>
      </c>
      <c r="X9" s="55">
        <v>1</v>
      </c>
      <c r="Y9" s="55">
        <v>0</v>
      </c>
      <c r="Z9" s="56">
        <v>1</v>
      </c>
      <c r="AA9" s="55">
        <v>0</v>
      </c>
      <c r="AB9" s="55">
        <v>1</v>
      </c>
      <c r="AC9" s="55">
        <v>0</v>
      </c>
      <c r="AD9" s="56">
        <v>1</v>
      </c>
      <c r="AE9" s="54">
        <f>_xlfn.BITXOR(V9,_xlfn.BITXOR(Z9,AD9))</f>
        <v>1</v>
      </c>
      <c r="AF9" s="66">
        <f>_xlfn.BITXOR(T9,AE9)</f>
        <v>0</v>
      </c>
      <c r="AG9" s="54" t="str">
        <f>IF(AF9=B9,"совпадает","НЕ совпадает")</f>
        <v>совпадает</v>
      </c>
    </row>
    <row r="10" spans="1:33" x14ac:dyDescent="0.35">
      <c r="A10" s="54">
        <v>2</v>
      </c>
      <c r="B10" s="59">
        <v>0</v>
      </c>
      <c r="C10" s="67">
        <f t="shared" ref="C10:C18" si="0">M9</f>
        <v>1</v>
      </c>
      <c r="D10" s="56">
        <f t="shared" ref="D10:L18" si="1">C9</f>
        <v>0</v>
      </c>
      <c r="E10" s="55">
        <f t="shared" si="1"/>
        <v>1</v>
      </c>
      <c r="F10" s="55">
        <f t="shared" si="1"/>
        <v>0</v>
      </c>
      <c r="G10" s="55">
        <f t="shared" si="1"/>
        <v>1</v>
      </c>
      <c r="H10" s="56">
        <f t="shared" si="1"/>
        <v>0</v>
      </c>
      <c r="I10" s="55">
        <f t="shared" si="1"/>
        <v>1</v>
      </c>
      <c r="J10" s="55">
        <f t="shared" si="1"/>
        <v>0</v>
      </c>
      <c r="K10" s="55">
        <f t="shared" si="1"/>
        <v>1</v>
      </c>
      <c r="L10" s="56">
        <f t="shared" si="1"/>
        <v>0</v>
      </c>
      <c r="M10" s="54">
        <f t="shared" ref="M10:M18" si="2">_xlfn.BITXOR(D10,_xlfn.BITXOR(H10,L10))</f>
        <v>0</v>
      </c>
      <c r="N10" s="57">
        <f t="shared" ref="N10:N18" si="3">_xlfn.BITXOR(B10,M10)</f>
        <v>0</v>
      </c>
      <c r="O10" s="49"/>
      <c r="P10" s="49"/>
      <c r="S10" s="54">
        <v>2</v>
      </c>
      <c r="T10" s="57">
        <f t="shared" ref="T10:T18" si="4">N10</f>
        <v>0</v>
      </c>
      <c r="U10" s="55">
        <f t="shared" ref="U10:U18" si="5">AE9</f>
        <v>1</v>
      </c>
      <c r="V10" s="56">
        <f t="shared" ref="V10:AD18" si="6">U9</f>
        <v>0</v>
      </c>
      <c r="W10" s="55">
        <f t="shared" si="6"/>
        <v>1</v>
      </c>
      <c r="X10" s="55">
        <f t="shared" si="6"/>
        <v>0</v>
      </c>
      <c r="Y10" s="55">
        <f t="shared" si="6"/>
        <v>1</v>
      </c>
      <c r="Z10" s="56">
        <f t="shared" si="6"/>
        <v>0</v>
      </c>
      <c r="AA10" s="55">
        <f t="shared" si="6"/>
        <v>1</v>
      </c>
      <c r="AB10" s="55">
        <f t="shared" si="6"/>
        <v>0</v>
      </c>
      <c r="AC10" s="55">
        <f t="shared" si="6"/>
        <v>1</v>
      </c>
      <c r="AD10" s="56">
        <f t="shared" si="6"/>
        <v>0</v>
      </c>
      <c r="AE10" s="54">
        <f t="shared" ref="AE10:AE18" si="7">_xlfn.BITXOR(V10,_xlfn.BITXOR(Z10,AD10))</f>
        <v>0</v>
      </c>
      <c r="AF10" s="59">
        <f t="shared" ref="AF10:AF18" si="8">_xlfn.BITXOR(T10,AE10)</f>
        <v>0</v>
      </c>
      <c r="AG10" s="54" t="str">
        <f t="shared" ref="AG10:AG18" si="9">IF(AF10=B10,"совпадает","НЕ совпадает")</f>
        <v>совпадает</v>
      </c>
    </row>
    <row r="11" spans="1:33" x14ac:dyDescent="0.35">
      <c r="A11" s="54">
        <v>3</v>
      </c>
      <c r="B11" s="59">
        <v>0</v>
      </c>
      <c r="C11" s="55">
        <f t="shared" si="0"/>
        <v>0</v>
      </c>
      <c r="D11" s="56">
        <f t="shared" si="1"/>
        <v>1</v>
      </c>
      <c r="E11" s="55">
        <f t="shared" si="1"/>
        <v>0</v>
      </c>
      <c r="F11" s="55">
        <f t="shared" si="1"/>
        <v>1</v>
      </c>
      <c r="G11" s="55">
        <f t="shared" si="1"/>
        <v>0</v>
      </c>
      <c r="H11" s="56">
        <f t="shared" si="1"/>
        <v>1</v>
      </c>
      <c r="I11" s="55">
        <f t="shared" si="1"/>
        <v>0</v>
      </c>
      <c r="J11" s="55">
        <f t="shared" si="1"/>
        <v>1</v>
      </c>
      <c r="K11" s="55">
        <f t="shared" si="1"/>
        <v>0</v>
      </c>
      <c r="L11" s="56">
        <f t="shared" si="1"/>
        <v>1</v>
      </c>
      <c r="M11" s="54">
        <f t="shared" si="2"/>
        <v>1</v>
      </c>
      <c r="N11" s="57">
        <f t="shared" si="3"/>
        <v>1</v>
      </c>
      <c r="O11" s="49"/>
      <c r="P11" s="49"/>
      <c r="Q11" s="58" t="s">
        <v>50</v>
      </c>
      <c r="S11" s="54">
        <v>3</v>
      </c>
      <c r="T11" s="57">
        <f t="shared" si="4"/>
        <v>1</v>
      </c>
      <c r="U11" s="55">
        <f t="shared" si="5"/>
        <v>0</v>
      </c>
      <c r="V11" s="56">
        <f t="shared" si="6"/>
        <v>1</v>
      </c>
      <c r="W11" s="55">
        <f t="shared" si="6"/>
        <v>0</v>
      </c>
      <c r="X11" s="55">
        <f t="shared" si="6"/>
        <v>1</v>
      </c>
      <c r="Y11" s="55">
        <f t="shared" si="6"/>
        <v>0</v>
      </c>
      <c r="Z11" s="56">
        <f t="shared" si="6"/>
        <v>1</v>
      </c>
      <c r="AA11" s="55">
        <f t="shared" si="6"/>
        <v>0</v>
      </c>
      <c r="AB11" s="55">
        <f t="shared" si="6"/>
        <v>1</v>
      </c>
      <c r="AC11" s="55">
        <f t="shared" si="6"/>
        <v>0</v>
      </c>
      <c r="AD11" s="56">
        <f t="shared" si="6"/>
        <v>1</v>
      </c>
      <c r="AE11" s="54">
        <f t="shared" si="7"/>
        <v>1</v>
      </c>
      <c r="AF11" s="59">
        <f t="shared" si="8"/>
        <v>0</v>
      </c>
      <c r="AG11" s="54" t="str">
        <f t="shared" si="9"/>
        <v>совпадает</v>
      </c>
    </row>
    <row r="12" spans="1:33" x14ac:dyDescent="0.35">
      <c r="A12" s="54">
        <v>4</v>
      </c>
      <c r="B12" s="59">
        <v>0</v>
      </c>
      <c r="C12" s="55">
        <f t="shared" si="0"/>
        <v>1</v>
      </c>
      <c r="D12" s="56">
        <f t="shared" si="1"/>
        <v>0</v>
      </c>
      <c r="E12" s="55">
        <f t="shared" si="1"/>
        <v>1</v>
      </c>
      <c r="F12" s="55">
        <f t="shared" si="1"/>
        <v>0</v>
      </c>
      <c r="G12" s="55">
        <f t="shared" si="1"/>
        <v>1</v>
      </c>
      <c r="H12" s="56">
        <f t="shared" si="1"/>
        <v>0</v>
      </c>
      <c r="I12" s="55">
        <f t="shared" si="1"/>
        <v>1</v>
      </c>
      <c r="J12" s="55">
        <f t="shared" si="1"/>
        <v>0</v>
      </c>
      <c r="K12" s="55">
        <f t="shared" si="1"/>
        <v>1</v>
      </c>
      <c r="L12" s="56">
        <f t="shared" si="1"/>
        <v>0</v>
      </c>
      <c r="M12" s="54">
        <f t="shared" si="2"/>
        <v>0</v>
      </c>
      <c r="N12" s="57">
        <f t="shared" si="3"/>
        <v>0</v>
      </c>
      <c r="O12" s="49"/>
      <c r="P12" s="49"/>
      <c r="S12" s="54">
        <v>4</v>
      </c>
      <c r="T12" s="57">
        <f t="shared" si="4"/>
        <v>0</v>
      </c>
      <c r="U12" s="55">
        <f t="shared" si="5"/>
        <v>1</v>
      </c>
      <c r="V12" s="56">
        <f t="shared" si="6"/>
        <v>0</v>
      </c>
      <c r="W12" s="55">
        <f t="shared" si="6"/>
        <v>1</v>
      </c>
      <c r="X12" s="55">
        <f t="shared" si="6"/>
        <v>0</v>
      </c>
      <c r="Y12" s="55">
        <f t="shared" si="6"/>
        <v>1</v>
      </c>
      <c r="Z12" s="56">
        <f t="shared" si="6"/>
        <v>0</v>
      </c>
      <c r="AA12" s="55">
        <f t="shared" si="6"/>
        <v>1</v>
      </c>
      <c r="AB12" s="55">
        <f t="shared" si="6"/>
        <v>0</v>
      </c>
      <c r="AC12" s="55">
        <f t="shared" si="6"/>
        <v>1</v>
      </c>
      <c r="AD12" s="56">
        <f t="shared" si="6"/>
        <v>0</v>
      </c>
      <c r="AE12" s="54">
        <f t="shared" si="7"/>
        <v>0</v>
      </c>
      <c r="AF12" s="59">
        <f t="shared" si="8"/>
        <v>0</v>
      </c>
      <c r="AG12" s="54" t="str">
        <f t="shared" si="9"/>
        <v>совпадает</v>
      </c>
    </row>
    <row r="13" spans="1:33" x14ac:dyDescent="0.35">
      <c r="A13" s="54">
        <v>5</v>
      </c>
      <c r="B13" s="59">
        <v>1</v>
      </c>
      <c r="C13" s="55">
        <f t="shared" si="0"/>
        <v>0</v>
      </c>
      <c r="D13" s="56">
        <f t="shared" si="1"/>
        <v>1</v>
      </c>
      <c r="E13" s="55">
        <f t="shared" si="1"/>
        <v>0</v>
      </c>
      <c r="F13" s="55">
        <f t="shared" si="1"/>
        <v>1</v>
      </c>
      <c r="G13" s="55">
        <f t="shared" si="1"/>
        <v>0</v>
      </c>
      <c r="H13" s="56">
        <f t="shared" si="1"/>
        <v>1</v>
      </c>
      <c r="I13" s="55">
        <f t="shared" si="1"/>
        <v>0</v>
      </c>
      <c r="J13" s="55">
        <f t="shared" si="1"/>
        <v>1</v>
      </c>
      <c r="K13" s="55">
        <f t="shared" si="1"/>
        <v>0</v>
      </c>
      <c r="L13" s="56">
        <f t="shared" si="1"/>
        <v>1</v>
      </c>
      <c r="M13" s="54">
        <f t="shared" si="2"/>
        <v>1</v>
      </c>
      <c r="N13" s="57">
        <f t="shared" si="3"/>
        <v>0</v>
      </c>
      <c r="O13" s="49"/>
      <c r="P13" s="49"/>
      <c r="S13" s="54">
        <v>5</v>
      </c>
      <c r="T13" s="57">
        <f t="shared" si="4"/>
        <v>0</v>
      </c>
      <c r="U13" s="55">
        <f t="shared" si="5"/>
        <v>0</v>
      </c>
      <c r="V13" s="56">
        <f t="shared" si="6"/>
        <v>1</v>
      </c>
      <c r="W13" s="55">
        <f t="shared" si="6"/>
        <v>0</v>
      </c>
      <c r="X13" s="55">
        <f t="shared" si="6"/>
        <v>1</v>
      </c>
      <c r="Y13" s="55">
        <f t="shared" si="6"/>
        <v>0</v>
      </c>
      <c r="Z13" s="56">
        <f t="shared" si="6"/>
        <v>1</v>
      </c>
      <c r="AA13" s="55">
        <f t="shared" si="6"/>
        <v>0</v>
      </c>
      <c r="AB13" s="55">
        <f t="shared" si="6"/>
        <v>1</v>
      </c>
      <c r="AC13" s="55">
        <f t="shared" si="6"/>
        <v>0</v>
      </c>
      <c r="AD13" s="56">
        <f t="shared" si="6"/>
        <v>1</v>
      </c>
      <c r="AE13" s="54">
        <f t="shared" si="7"/>
        <v>1</v>
      </c>
      <c r="AF13" s="59">
        <f t="shared" si="8"/>
        <v>1</v>
      </c>
      <c r="AG13" s="54" t="str">
        <f t="shared" si="9"/>
        <v>совпадает</v>
      </c>
    </row>
    <row r="14" spans="1:33" x14ac:dyDescent="0.35">
      <c r="A14" s="54">
        <v>6</v>
      </c>
      <c r="B14" s="59">
        <v>0</v>
      </c>
      <c r="C14" s="55">
        <f t="shared" si="0"/>
        <v>1</v>
      </c>
      <c r="D14" s="56">
        <f t="shared" si="1"/>
        <v>0</v>
      </c>
      <c r="E14" s="55">
        <f t="shared" si="1"/>
        <v>1</v>
      </c>
      <c r="F14" s="55">
        <f t="shared" si="1"/>
        <v>0</v>
      </c>
      <c r="G14" s="55">
        <f t="shared" si="1"/>
        <v>1</v>
      </c>
      <c r="H14" s="56">
        <f t="shared" si="1"/>
        <v>0</v>
      </c>
      <c r="I14" s="55">
        <f t="shared" si="1"/>
        <v>1</v>
      </c>
      <c r="J14" s="55">
        <f t="shared" si="1"/>
        <v>0</v>
      </c>
      <c r="K14" s="55">
        <f t="shared" si="1"/>
        <v>1</v>
      </c>
      <c r="L14" s="56">
        <f t="shared" si="1"/>
        <v>0</v>
      </c>
      <c r="M14" s="54">
        <f t="shared" si="2"/>
        <v>0</v>
      </c>
      <c r="N14" s="57">
        <f t="shared" si="3"/>
        <v>0</v>
      </c>
      <c r="O14" s="49"/>
      <c r="P14" s="49"/>
      <c r="S14" s="54">
        <v>6</v>
      </c>
      <c r="T14" s="57">
        <f t="shared" si="4"/>
        <v>0</v>
      </c>
      <c r="U14" s="55">
        <f t="shared" si="5"/>
        <v>1</v>
      </c>
      <c r="V14" s="56">
        <f t="shared" si="6"/>
        <v>0</v>
      </c>
      <c r="W14" s="55">
        <f t="shared" si="6"/>
        <v>1</v>
      </c>
      <c r="X14" s="55">
        <f t="shared" si="6"/>
        <v>0</v>
      </c>
      <c r="Y14" s="55">
        <f t="shared" si="6"/>
        <v>1</v>
      </c>
      <c r="Z14" s="56">
        <f t="shared" si="6"/>
        <v>0</v>
      </c>
      <c r="AA14" s="55">
        <f t="shared" si="6"/>
        <v>1</v>
      </c>
      <c r="AB14" s="55">
        <f t="shared" si="6"/>
        <v>0</v>
      </c>
      <c r="AC14" s="55">
        <f t="shared" si="6"/>
        <v>1</v>
      </c>
      <c r="AD14" s="56">
        <f t="shared" si="6"/>
        <v>0</v>
      </c>
      <c r="AE14" s="54">
        <f t="shared" si="7"/>
        <v>0</v>
      </c>
      <c r="AF14" s="59">
        <f t="shared" si="8"/>
        <v>0</v>
      </c>
      <c r="AG14" s="54" t="str">
        <f t="shared" si="9"/>
        <v>совпадает</v>
      </c>
    </row>
    <row r="15" spans="1:33" x14ac:dyDescent="0.35">
      <c r="A15" s="54">
        <v>7</v>
      </c>
      <c r="B15" s="59">
        <v>0</v>
      </c>
      <c r="C15" s="55">
        <f t="shared" si="0"/>
        <v>0</v>
      </c>
      <c r="D15" s="56">
        <f t="shared" si="1"/>
        <v>1</v>
      </c>
      <c r="E15" s="55">
        <f t="shared" si="1"/>
        <v>0</v>
      </c>
      <c r="F15" s="55">
        <f t="shared" si="1"/>
        <v>1</v>
      </c>
      <c r="G15" s="55">
        <f t="shared" si="1"/>
        <v>0</v>
      </c>
      <c r="H15" s="56">
        <f t="shared" si="1"/>
        <v>1</v>
      </c>
      <c r="I15" s="55">
        <f t="shared" si="1"/>
        <v>0</v>
      </c>
      <c r="J15" s="55">
        <f t="shared" si="1"/>
        <v>1</v>
      </c>
      <c r="K15" s="55">
        <f t="shared" si="1"/>
        <v>0</v>
      </c>
      <c r="L15" s="56">
        <f t="shared" si="1"/>
        <v>1</v>
      </c>
      <c r="M15" s="54">
        <f t="shared" si="2"/>
        <v>1</v>
      </c>
      <c r="N15" s="57">
        <f t="shared" si="3"/>
        <v>1</v>
      </c>
      <c r="O15" s="49"/>
      <c r="P15" s="49"/>
      <c r="S15" s="54">
        <v>7</v>
      </c>
      <c r="T15" s="57">
        <f t="shared" si="4"/>
        <v>1</v>
      </c>
      <c r="U15" s="55">
        <f t="shared" si="5"/>
        <v>0</v>
      </c>
      <c r="V15" s="56">
        <f t="shared" si="6"/>
        <v>1</v>
      </c>
      <c r="W15" s="55">
        <f t="shared" si="6"/>
        <v>0</v>
      </c>
      <c r="X15" s="55">
        <f t="shared" si="6"/>
        <v>1</v>
      </c>
      <c r="Y15" s="55">
        <f t="shared" si="6"/>
        <v>0</v>
      </c>
      <c r="Z15" s="56">
        <f t="shared" si="6"/>
        <v>1</v>
      </c>
      <c r="AA15" s="55">
        <f t="shared" si="6"/>
        <v>0</v>
      </c>
      <c r="AB15" s="55">
        <f t="shared" si="6"/>
        <v>1</v>
      </c>
      <c r="AC15" s="55">
        <f t="shared" si="6"/>
        <v>0</v>
      </c>
      <c r="AD15" s="56">
        <f t="shared" si="6"/>
        <v>1</v>
      </c>
      <c r="AE15" s="54">
        <f t="shared" si="7"/>
        <v>1</v>
      </c>
      <c r="AF15" s="59">
        <f t="shared" si="8"/>
        <v>0</v>
      </c>
      <c r="AG15" s="54" t="str">
        <f t="shared" si="9"/>
        <v>совпадает</v>
      </c>
    </row>
    <row r="16" spans="1:33" x14ac:dyDescent="0.35">
      <c r="A16" s="54">
        <v>8</v>
      </c>
      <c r="B16" s="59">
        <v>1</v>
      </c>
      <c r="C16" s="55">
        <f t="shared" si="0"/>
        <v>1</v>
      </c>
      <c r="D16" s="56">
        <f t="shared" si="1"/>
        <v>0</v>
      </c>
      <c r="E16" s="55">
        <f t="shared" si="1"/>
        <v>1</v>
      </c>
      <c r="F16" s="55">
        <f t="shared" si="1"/>
        <v>0</v>
      </c>
      <c r="G16" s="55">
        <f t="shared" si="1"/>
        <v>1</v>
      </c>
      <c r="H16" s="56">
        <f t="shared" si="1"/>
        <v>0</v>
      </c>
      <c r="I16" s="55">
        <f t="shared" si="1"/>
        <v>1</v>
      </c>
      <c r="J16" s="55">
        <f t="shared" si="1"/>
        <v>0</v>
      </c>
      <c r="K16" s="55">
        <f t="shared" si="1"/>
        <v>1</v>
      </c>
      <c r="L16" s="56">
        <f t="shared" si="1"/>
        <v>0</v>
      </c>
      <c r="M16" s="54">
        <f t="shared" si="2"/>
        <v>0</v>
      </c>
      <c r="N16" s="57">
        <f t="shared" si="3"/>
        <v>1</v>
      </c>
      <c r="O16" s="49"/>
      <c r="P16" s="49"/>
      <c r="S16" s="54">
        <v>8</v>
      </c>
      <c r="T16" s="57">
        <f t="shared" si="4"/>
        <v>1</v>
      </c>
      <c r="U16" s="55">
        <f t="shared" si="5"/>
        <v>1</v>
      </c>
      <c r="V16" s="56">
        <f t="shared" si="6"/>
        <v>0</v>
      </c>
      <c r="W16" s="55">
        <f t="shared" si="6"/>
        <v>1</v>
      </c>
      <c r="X16" s="55">
        <f t="shared" si="6"/>
        <v>0</v>
      </c>
      <c r="Y16" s="55">
        <f t="shared" si="6"/>
        <v>1</v>
      </c>
      <c r="Z16" s="56">
        <f t="shared" si="6"/>
        <v>0</v>
      </c>
      <c r="AA16" s="55">
        <f t="shared" si="6"/>
        <v>1</v>
      </c>
      <c r="AB16" s="55">
        <f t="shared" si="6"/>
        <v>0</v>
      </c>
      <c r="AC16" s="55">
        <f t="shared" si="6"/>
        <v>1</v>
      </c>
      <c r="AD16" s="56">
        <f t="shared" si="6"/>
        <v>0</v>
      </c>
      <c r="AE16" s="54">
        <f t="shared" si="7"/>
        <v>0</v>
      </c>
      <c r="AF16" s="59">
        <f t="shared" si="8"/>
        <v>1</v>
      </c>
      <c r="AG16" s="54" t="str">
        <f t="shared" si="9"/>
        <v>совпадает</v>
      </c>
    </row>
    <row r="17" spans="1:33" x14ac:dyDescent="0.35">
      <c r="A17" s="54">
        <v>9</v>
      </c>
      <c r="B17" s="59">
        <v>0</v>
      </c>
      <c r="C17" s="55">
        <f t="shared" si="0"/>
        <v>0</v>
      </c>
      <c r="D17" s="56">
        <f t="shared" si="1"/>
        <v>1</v>
      </c>
      <c r="E17" s="55">
        <f t="shared" si="1"/>
        <v>0</v>
      </c>
      <c r="F17" s="55">
        <f t="shared" si="1"/>
        <v>1</v>
      </c>
      <c r="G17" s="55">
        <f t="shared" si="1"/>
        <v>0</v>
      </c>
      <c r="H17" s="56">
        <f t="shared" si="1"/>
        <v>1</v>
      </c>
      <c r="I17" s="55">
        <f t="shared" si="1"/>
        <v>0</v>
      </c>
      <c r="J17" s="55">
        <f t="shared" si="1"/>
        <v>1</v>
      </c>
      <c r="K17" s="55">
        <f t="shared" si="1"/>
        <v>0</v>
      </c>
      <c r="L17" s="56">
        <f t="shared" si="1"/>
        <v>1</v>
      </c>
      <c r="M17" s="54">
        <f t="shared" si="2"/>
        <v>1</v>
      </c>
      <c r="N17" s="57">
        <f t="shared" si="3"/>
        <v>1</v>
      </c>
      <c r="O17" s="49"/>
      <c r="P17" s="49"/>
      <c r="S17" s="54">
        <v>9</v>
      </c>
      <c r="T17" s="57">
        <f t="shared" si="4"/>
        <v>1</v>
      </c>
      <c r="U17" s="55">
        <f t="shared" si="5"/>
        <v>0</v>
      </c>
      <c r="V17" s="56">
        <f t="shared" si="6"/>
        <v>1</v>
      </c>
      <c r="W17" s="55">
        <f t="shared" si="6"/>
        <v>0</v>
      </c>
      <c r="X17" s="55">
        <f t="shared" si="6"/>
        <v>1</v>
      </c>
      <c r="Y17" s="55">
        <f t="shared" si="6"/>
        <v>0</v>
      </c>
      <c r="Z17" s="56">
        <f t="shared" si="6"/>
        <v>1</v>
      </c>
      <c r="AA17" s="55">
        <f t="shared" si="6"/>
        <v>0</v>
      </c>
      <c r="AB17" s="55">
        <f t="shared" si="6"/>
        <v>1</v>
      </c>
      <c r="AC17" s="55">
        <f t="shared" si="6"/>
        <v>0</v>
      </c>
      <c r="AD17" s="56">
        <f t="shared" si="6"/>
        <v>1</v>
      </c>
      <c r="AE17" s="54">
        <f t="shared" si="7"/>
        <v>1</v>
      </c>
      <c r="AF17" s="59">
        <f t="shared" si="8"/>
        <v>0</v>
      </c>
      <c r="AG17" s="54" t="str">
        <f t="shared" si="9"/>
        <v>совпадает</v>
      </c>
    </row>
    <row r="18" spans="1:33" x14ac:dyDescent="0.35">
      <c r="A18" s="54">
        <v>10</v>
      </c>
      <c r="B18" s="59">
        <v>0</v>
      </c>
      <c r="C18" s="55">
        <f t="shared" si="0"/>
        <v>1</v>
      </c>
      <c r="D18" s="56">
        <f t="shared" si="1"/>
        <v>0</v>
      </c>
      <c r="E18" s="55">
        <f t="shared" si="1"/>
        <v>1</v>
      </c>
      <c r="F18" s="55">
        <f t="shared" si="1"/>
        <v>0</v>
      </c>
      <c r="G18" s="55">
        <f t="shared" si="1"/>
        <v>1</v>
      </c>
      <c r="H18" s="56">
        <f t="shared" si="1"/>
        <v>0</v>
      </c>
      <c r="I18" s="55">
        <f t="shared" si="1"/>
        <v>1</v>
      </c>
      <c r="J18" s="55">
        <f t="shared" si="1"/>
        <v>0</v>
      </c>
      <c r="K18" s="55">
        <f t="shared" si="1"/>
        <v>1</v>
      </c>
      <c r="L18" s="56">
        <f t="shared" si="1"/>
        <v>0</v>
      </c>
      <c r="M18" s="54">
        <f t="shared" si="2"/>
        <v>0</v>
      </c>
      <c r="N18" s="57">
        <f t="shared" si="3"/>
        <v>0</v>
      </c>
      <c r="O18" s="49"/>
      <c r="P18" s="49"/>
      <c r="S18" s="54">
        <v>10</v>
      </c>
      <c r="T18" s="57">
        <f t="shared" si="4"/>
        <v>0</v>
      </c>
      <c r="U18" s="55">
        <f t="shared" si="5"/>
        <v>1</v>
      </c>
      <c r="V18" s="56">
        <f t="shared" si="6"/>
        <v>0</v>
      </c>
      <c r="W18" s="55">
        <f t="shared" si="6"/>
        <v>1</v>
      </c>
      <c r="X18" s="55">
        <f t="shared" si="6"/>
        <v>0</v>
      </c>
      <c r="Y18" s="55">
        <f t="shared" si="6"/>
        <v>1</v>
      </c>
      <c r="Z18" s="56">
        <f t="shared" si="6"/>
        <v>0</v>
      </c>
      <c r="AA18" s="55">
        <f t="shared" si="6"/>
        <v>1</v>
      </c>
      <c r="AB18" s="55">
        <f t="shared" si="6"/>
        <v>0</v>
      </c>
      <c r="AC18" s="55">
        <f t="shared" si="6"/>
        <v>1</v>
      </c>
      <c r="AD18" s="56">
        <f t="shared" si="6"/>
        <v>0</v>
      </c>
      <c r="AE18" s="54">
        <f t="shared" si="7"/>
        <v>0</v>
      </c>
      <c r="AF18" s="59">
        <f t="shared" si="8"/>
        <v>0</v>
      </c>
      <c r="AG18" s="54" t="str">
        <f t="shared" si="9"/>
        <v>совпадает</v>
      </c>
    </row>
    <row r="19" spans="1:33" x14ac:dyDescent="0.35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</row>
    <row r="20" spans="1:33" x14ac:dyDescent="0.35">
      <c r="A20" s="50" t="s">
        <v>37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S20" s="50" t="s">
        <v>49</v>
      </c>
    </row>
    <row r="21" spans="1:33" x14ac:dyDescent="0.35">
      <c r="A21" s="51" t="str">
        <f>N9&amp;N10&amp;N11&amp;N12&amp;N13&amp;N14&amp;N15&amp;N16&amp;N17&amp;N18</f>
        <v>1010001110</v>
      </c>
      <c r="B21" s="52"/>
      <c r="C21" s="52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S21" s="51" t="str">
        <f>AF9&amp;AF10&amp;AF11&amp;AF12&amp;AF13&amp;AF14&amp;AF15&amp;AF16&amp;AF17&amp;AF18</f>
        <v>0000100100</v>
      </c>
      <c r="T21" s="65"/>
      <c r="U21" s="65"/>
    </row>
    <row r="22" spans="1:33" x14ac:dyDescent="0.3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S22" s="61" t="str">
        <f>IF(COUNTIF(AG9:AG18,"совпадает")=10,"сообщение восстановлено полностью","ошибка восстановления")</f>
        <v>сообщение восстановлено полностью</v>
      </c>
      <c r="T22" s="62"/>
      <c r="U22" s="62"/>
      <c r="V22" s="62"/>
      <c r="W22" s="62"/>
      <c r="X22" s="62"/>
      <c r="Y22" s="62"/>
      <c r="Z22" s="62"/>
    </row>
    <row r="23" spans="1:33" s="64" customFormat="1" x14ac:dyDescent="0.35"/>
    <row r="24" spans="1:33" x14ac:dyDescent="0.35">
      <c r="A24" s="48" t="s">
        <v>47</v>
      </c>
    </row>
    <row r="25" spans="1:33" x14ac:dyDescent="0.35">
      <c r="A25" s="50" t="s">
        <v>44</v>
      </c>
      <c r="S25" s="63" t="s">
        <v>45</v>
      </c>
    </row>
    <row r="26" spans="1:33" x14ac:dyDescent="0.35">
      <c r="A26" s="53" t="s">
        <v>23</v>
      </c>
      <c r="B26" s="53" t="s">
        <v>24</v>
      </c>
      <c r="C26" s="53" t="s">
        <v>25</v>
      </c>
      <c r="D26" s="53" t="s">
        <v>26</v>
      </c>
      <c r="E26" s="53" t="s">
        <v>27</v>
      </c>
      <c r="F26" s="53" t="s">
        <v>28</v>
      </c>
      <c r="G26" s="53" t="s">
        <v>29</v>
      </c>
      <c r="H26" s="53" t="s">
        <v>30</v>
      </c>
      <c r="I26" s="53" t="s">
        <v>31</v>
      </c>
      <c r="J26" s="53" t="s">
        <v>32</v>
      </c>
      <c r="K26" s="53" t="s">
        <v>33</v>
      </c>
      <c r="L26" s="53" t="s">
        <v>34</v>
      </c>
      <c r="M26" s="53" t="s">
        <v>43</v>
      </c>
      <c r="N26" s="53" t="s">
        <v>36</v>
      </c>
      <c r="S26" s="53" t="s">
        <v>23</v>
      </c>
      <c r="T26" s="53" t="s">
        <v>36</v>
      </c>
      <c r="U26" s="53" t="s">
        <v>25</v>
      </c>
      <c r="V26" s="53" t="s">
        <v>26</v>
      </c>
      <c r="W26" s="53" t="s">
        <v>27</v>
      </c>
      <c r="X26" s="53" t="s">
        <v>28</v>
      </c>
      <c r="Y26" s="53" t="s">
        <v>29</v>
      </c>
      <c r="Z26" s="53" t="s">
        <v>30</v>
      </c>
      <c r="AA26" s="53" t="s">
        <v>31</v>
      </c>
      <c r="AB26" s="53" t="s">
        <v>32</v>
      </c>
      <c r="AC26" s="53" t="s">
        <v>33</v>
      </c>
      <c r="AD26" s="53" t="s">
        <v>34</v>
      </c>
      <c r="AE26" s="53" t="s">
        <v>43</v>
      </c>
      <c r="AF26" s="53" t="s">
        <v>38</v>
      </c>
      <c r="AG26" s="53" t="s">
        <v>39</v>
      </c>
    </row>
    <row r="27" spans="1:33" x14ac:dyDescent="0.35">
      <c r="A27" s="54">
        <v>1</v>
      </c>
      <c r="B27" s="59">
        <v>0</v>
      </c>
      <c r="C27" s="55">
        <v>0</v>
      </c>
      <c r="D27" s="56">
        <v>0</v>
      </c>
      <c r="E27" s="55">
        <v>0</v>
      </c>
      <c r="F27" s="55">
        <v>0</v>
      </c>
      <c r="G27" s="55">
        <v>0</v>
      </c>
      <c r="H27" s="56">
        <v>0</v>
      </c>
      <c r="I27" s="55">
        <v>0</v>
      </c>
      <c r="J27" s="55">
        <v>0</v>
      </c>
      <c r="K27" s="55">
        <v>0</v>
      </c>
      <c r="L27" s="56">
        <v>0</v>
      </c>
      <c r="M27" s="54">
        <f>_xlfn.BITXOR(D27,_xlfn.BITXOR(H27,L27))</f>
        <v>0</v>
      </c>
      <c r="N27" s="69">
        <f t="shared" ref="N27:N28" si="10">_xlfn.BITXOR(B27,M27)</f>
        <v>0</v>
      </c>
      <c r="S27" s="54">
        <v>1</v>
      </c>
      <c r="T27" s="57">
        <f>N27</f>
        <v>0</v>
      </c>
      <c r="U27" s="55">
        <v>0</v>
      </c>
      <c r="V27" s="56">
        <v>0</v>
      </c>
      <c r="W27" s="55">
        <v>0</v>
      </c>
      <c r="X27" s="55">
        <v>0</v>
      </c>
      <c r="Y27" s="55">
        <v>0</v>
      </c>
      <c r="Z27" s="56">
        <v>0</v>
      </c>
      <c r="AA27" s="55">
        <v>0</v>
      </c>
      <c r="AB27" s="55">
        <v>0</v>
      </c>
      <c r="AC27" s="55">
        <v>0</v>
      </c>
      <c r="AD27" s="56">
        <v>0</v>
      </c>
      <c r="AE27" s="54">
        <f>_xlfn.BITXOR(V27,_xlfn.BITXOR(Z27,AD27))</f>
        <v>0</v>
      </c>
      <c r="AF27" s="59">
        <f>_xlfn.BITXOR(T27,AE27)</f>
        <v>0</v>
      </c>
      <c r="AG27" s="54" t="str">
        <f>IF(AF27=B27,"совпадает","НЕ совпадает")</f>
        <v>совпадает</v>
      </c>
    </row>
    <row r="28" spans="1:33" x14ac:dyDescent="0.35">
      <c r="A28" s="54">
        <v>2</v>
      </c>
      <c r="B28" s="59">
        <v>0</v>
      </c>
      <c r="C28" s="67">
        <f t="shared" ref="C28:C36" si="11">N27</f>
        <v>0</v>
      </c>
      <c r="D28" s="56">
        <f t="shared" ref="D28:L36" si="12">C27</f>
        <v>0</v>
      </c>
      <c r="E28" s="55">
        <f t="shared" si="12"/>
        <v>0</v>
      </c>
      <c r="F28" s="55">
        <f t="shared" si="12"/>
        <v>0</v>
      </c>
      <c r="G28" s="55">
        <f t="shared" si="12"/>
        <v>0</v>
      </c>
      <c r="H28" s="56">
        <f t="shared" si="12"/>
        <v>0</v>
      </c>
      <c r="I28" s="55">
        <f t="shared" si="12"/>
        <v>0</v>
      </c>
      <c r="J28" s="55">
        <f t="shared" si="12"/>
        <v>0</v>
      </c>
      <c r="K28" s="55">
        <f t="shared" si="12"/>
        <v>0</v>
      </c>
      <c r="L28" s="56">
        <f t="shared" si="12"/>
        <v>0</v>
      </c>
      <c r="M28" s="54">
        <f t="shared" ref="M28:M36" si="13">_xlfn.BITXOR(D28,_xlfn.BITXOR(H28,L28))</f>
        <v>0</v>
      </c>
      <c r="N28" s="57">
        <f t="shared" si="10"/>
        <v>0</v>
      </c>
      <c r="S28" s="54">
        <v>2</v>
      </c>
      <c r="T28" s="57">
        <f t="shared" ref="T28:T36" si="14">N28</f>
        <v>0</v>
      </c>
      <c r="U28" s="55">
        <f t="shared" ref="U28:AD36" si="15">T27</f>
        <v>0</v>
      </c>
      <c r="V28" s="56">
        <f t="shared" si="15"/>
        <v>0</v>
      </c>
      <c r="W28" s="55">
        <f t="shared" si="15"/>
        <v>0</v>
      </c>
      <c r="X28" s="55">
        <f t="shared" si="15"/>
        <v>0</v>
      </c>
      <c r="Y28" s="55">
        <f t="shared" si="15"/>
        <v>0</v>
      </c>
      <c r="Z28" s="56">
        <f t="shared" si="15"/>
        <v>0</v>
      </c>
      <c r="AA28" s="55">
        <f t="shared" si="15"/>
        <v>0</v>
      </c>
      <c r="AB28" s="55">
        <f t="shared" si="15"/>
        <v>0</v>
      </c>
      <c r="AC28" s="55">
        <f t="shared" si="15"/>
        <v>0</v>
      </c>
      <c r="AD28" s="56">
        <f t="shared" si="15"/>
        <v>0</v>
      </c>
      <c r="AE28" s="54">
        <f t="shared" ref="AE28:AE36" si="16">_xlfn.BITXOR(V28,_xlfn.BITXOR(Z28,AD28))</f>
        <v>0</v>
      </c>
      <c r="AF28" s="59">
        <f t="shared" ref="AF28:AF36" si="17">_xlfn.BITXOR(T28,AE28)</f>
        <v>0</v>
      </c>
      <c r="AG28" s="54" t="str">
        <f t="shared" ref="AG28:AG36" si="18">IF(AF28=B28,"совпадает","НЕ совпадает")</f>
        <v>совпадает</v>
      </c>
    </row>
    <row r="29" spans="1:33" x14ac:dyDescent="0.35">
      <c r="A29" s="54">
        <v>3</v>
      </c>
      <c r="B29" s="59">
        <v>0</v>
      </c>
      <c r="C29" s="55">
        <f t="shared" si="11"/>
        <v>0</v>
      </c>
      <c r="D29" s="56">
        <f t="shared" si="12"/>
        <v>0</v>
      </c>
      <c r="E29" s="55">
        <f t="shared" si="12"/>
        <v>0</v>
      </c>
      <c r="F29" s="55">
        <f t="shared" si="12"/>
        <v>0</v>
      </c>
      <c r="G29" s="55">
        <f t="shared" si="12"/>
        <v>0</v>
      </c>
      <c r="H29" s="56">
        <f t="shared" si="12"/>
        <v>0</v>
      </c>
      <c r="I29" s="55">
        <f t="shared" si="12"/>
        <v>0</v>
      </c>
      <c r="J29" s="55">
        <f t="shared" si="12"/>
        <v>0</v>
      </c>
      <c r="K29" s="55">
        <f t="shared" si="12"/>
        <v>0</v>
      </c>
      <c r="L29" s="56">
        <f t="shared" si="12"/>
        <v>0</v>
      </c>
      <c r="M29" s="54">
        <f t="shared" si="13"/>
        <v>0</v>
      </c>
      <c r="N29" s="57">
        <f>_xlfn.BITXOR(B29,M29)</f>
        <v>0</v>
      </c>
      <c r="S29" s="54">
        <v>3</v>
      </c>
      <c r="T29" s="57">
        <f t="shared" si="14"/>
        <v>0</v>
      </c>
      <c r="U29" s="55">
        <f t="shared" si="15"/>
        <v>0</v>
      </c>
      <c r="V29" s="56">
        <f t="shared" si="15"/>
        <v>0</v>
      </c>
      <c r="W29" s="55">
        <f t="shared" si="15"/>
        <v>0</v>
      </c>
      <c r="X29" s="55">
        <f t="shared" si="15"/>
        <v>0</v>
      </c>
      <c r="Y29" s="55">
        <f t="shared" si="15"/>
        <v>0</v>
      </c>
      <c r="Z29" s="56">
        <f t="shared" si="15"/>
        <v>0</v>
      </c>
      <c r="AA29" s="55">
        <f t="shared" si="15"/>
        <v>0</v>
      </c>
      <c r="AB29" s="55">
        <f t="shared" si="15"/>
        <v>0</v>
      </c>
      <c r="AC29" s="55">
        <f t="shared" si="15"/>
        <v>0</v>
      </c>
      <c r="AD29" s="56">
        <f t="shared" si="15"/>
        <v>0</v>
      </c>
      <c r="AE29" s="54">
        <f t="shared" si="16"/>
        <v>0</v>
      </c>
      <c r="AF29" s="59">
        <f t="shared" si="17"/>
        <v>0</v>
      </c>
      <c r="AG29" s="54" t="str">
        <f t="shared" si="18"/>
        <v>совпадает</v>
      </c>
    </row>
    <row r="30" spans="1:33" x14ac:dyDescent="0.35">
      <c r="A30" s="54">
        <v>4</v>
      </c>
      <c r="B30" s="59">
        <v>0</v>
      </c>
      <c r="C30" s="55">
        <f t="shared" si="11"/>
        <v>0</v>
      </c>
      <c r="D30" s="56">
        <f t="shared" si="12"/>
        <v>0</v>
      </c>
      <c r="E30" s="55">
        <f t="shared" si="12"/>
        <v>0</v>
      </c>
      <c r="F30" s="55">
        <f t="shared" si="12"/>
        <v>0</v>
      </c>
      <c r="G30" s="55">
        <f t="shared" si="12"/>
        <v>0</v>
      </c>
      <c r="H30" s="56">
        <f t="shared" si="12"/>
        <v>0</v>
      </c>
      <c r="I30" s="55">
        <f t="shared" si="12"/>
        <v>0</v>
      </c>
      <c r="J30" s="55">
        <f t="shared" si="12"/>
        <v>0</v>
      </c>
      <c r="K30" s="55">
        <f t="shared" si="12"/>
        <v>0</v>
      </c>
      <c r="L30" s="56">
        <f t="shared" si="12"/>
        <v>0</v>
      </c>
      <c r="M30" s="54">
        <f t="shared" si="13"/>
        <v>0</v>
      </c>
      <c r="N30" s="57">
        <f t="shared" ref="N30:N36" si="19">_xlfn.BITXOR(B30,M30)</f>
        <v>0</v>
      </c>
      <c r="S30" s="54">
        <v>4</v>
      </c>
      <c r="T30" s="57">
        <f t="shared" si="14"/>
        <v>0</v>
      </c>
      <c r="U30" s="55">
        <f t="shared" si="15"/>
        <v>0</v>
      </c>
      <c r="V30" s="56">
        <f t="shared" si="15"/>
        <v>0</v>
      </c>
      <c r="W30" s="55">
        <f t="shared" si="15"/>
        <v>0</v>
      </c>
      <c r="X30" s="55">
        <f t="shared" si="15"/>
        <v>0</v>
      </c>
      <c r="Y30" s="55">
        <f t="shared" si="15"/>
        <v>0</v>
      </c>
      <c r="Z30" s="56">
        <f t="shared" si="15"/>
        <v>0</v>
      </c>
      <c r="AA30" s="55">
        <f t="shared" si="15"/>
        <v>0</v>
      </c>
      <c r="AB30" s="55">
        <f t="shared" si="15"/>
        <v>0</v>
      </c>
      <c r="AC30" s="55">
        <f t="shared" si="15"/>
        <v>0</v>
      </c>
      <c r="AD30" s="56">
        <f t="shared" si="15"/>
        <v>0</v>
      </c>
      <c r="AE30" s="54">
        <f t="shared" si="16"/>
        <v>0</v>
      </c>
      <c r="AF30" s="59">
        <f t="shared" si="17"/>
        <v>0</v>
      </c>
      <c r="AG30" s="54" t="str">
        <f t="shared" si="18"/>
        <v>совпадает</v>
      </c>
    </row>
    <row r="31" spans="1:33" x14ac:dyDescent="0.35">
      <c r="A31" s="54">
        <v>5</v>
      </c>
      <c r="B31" s="59">
        <v>1</v>
      </c>
      <c r="C31" s="55">
        <f t="shared" si="11"/>
        <v>0</v>
      </c>
      <c r="D31" s="56">
        <f t="shared" si="12"/>
        <v>0</v>
      </c>
      <c r="E31" s="55">
        <f t="shared" si="12"/>
        <v>0</v>
      </c>
      <c r="F31" s="55">
        <f t="shared" si="12"/>
        <v>0</v>
      </c>
      <c r="G31" s="55">
        <f t="shared" si="12"/>
        <v>0</v>
      </c>
      <c r="H31" s="56">
        <f t="shared" si="12"/>
        <v>0</v>
      </c>
      <c r="I31" s="55">
        <f t="shared" si="12"/>
        <v>0</v>
      </c>
      <c r="J31" s="55">
        <f t="shared" si="12"/>
        <v>0</v>
      </c>
      <c r="K31" s="55">
        <f t="shared" si="12"/>
        <v>0</v>
      </c>
      <c r="L31" s="56">
        <f t="shared" si="12"/>
        <v>0</v>
      </c>
      <c r="M31" s="54">
        <f t="shared" si="13"/>
        <v>0</v>
      </c>
      <c r="N31" s="57">
        <f t="shared" si="19"/>
        <v>1</v>
      </c>
      <c r="S31" s="54">
        <v>5</v>
      </c>
      <c r="T31" s="57">
        <f t="shared" si="14"/>
        <v>1</v>
      </c>
      <c r="U31" s="55">
        <f t="shared" si="15"/>
        <v>0</v>
      </c>
      <c r="V31" s="56">
        <f t="shared" si="15"/>
        <v>0</v>
      </c>
      <c r="W31" s="55">
        <f t="shared" si="15"/>
        <v>0</v>
      </c>
      <c r="X31" s="55">
        <f t="shared" si="15"/>
        <v>0</v>
      </c>
      <c r="Y31" s="55">
        <f t="shared" si="15"/>
        <v>0</v>
      </c>
      <c r="Z31" s="56">
        <f t="shared" si="15"/>
        <v>0</v>
      </c>
      <c r="AA31" s="55">
        <f t="shared" si="15"/>
        <v>0</v>
      </c>
      <c r="AB31" s="55">
        <f t="shared" si="15"/>
        <v>0</v>
      </c>
      <c r="AC31" s="55">
        <f t="shared" si="15"/>
        <v>0</v>
      </c>
      <c r="AD31" s="56">
        <f t="shared" si="15"/>
        <v>0</v>
      </c>
      <c r="AE31" s="54">
        <f t="shared" si="16"/>
        <v>0</v>
      </c>
      <c r="AF31" s="59">
        <f t="shared" si="17"/>
        <v>1</v>
      </c>
      <c r="AG31" s="54" t="str">
        <f t="shared" si="18"/>
        <v>совпадает</v>
      </c>
    </row>
    <row r="32" spans="1:33" x14ac:dyDescent="0.35">
      <c r="A32" s="54">
        <v>6</v>
      </c>
      <c r="B32" s="59">
        <v>0</v>
      </c>
      <c r="C32" s="55">
        <f t="shared" si="11"/>
        <v>1</v>
      </c>
      <c r="D32" s="56">
        <f t="shared" si="12"/>
        <v>0</v>
      </c>
      <c r="E32" s="55">
        <f t="shared" si="12"/>
        <v>0</v>
      </c>
      <c r="F32" s="55">
        <f t="shared" si="12"/>
        <v>0</v>
      </c>
      <c r="G32" s="55">
        <f t="shared" si="12"/>
        <v>0</v>
      </c>
      <c r="H32" s="56">
        <f t="shared" si="12"/>
        <v>0</v>
      </c>
      <c r="I32" s="55">
        <f t="shared" si="12"/>
        <v>0</v>
      </c>
      <c r="J32" s="55">
        <f t="shared" si="12"/>
        <v>0</v>
      </c>
      <c r="K32" s="55">
        <f t="shared" si="12"/>
        <v>0</v>
      </c>
      <c r="L32" s="56">
        <f t="shared" si="12"/>
        <v>0</v>
      </c>
      <c r="M32" s="54">
        <f t="shared" si="13"/>
        <v>0</v>
      </c>
      <c r="N32" s="57">
        <f t="shared" si="19"/>
        <v>0</v>
      </c>
      <c r="S32" s="54">
        <v>6</v>
      </c>
      <c r="T32" s="57">
        <f t="shared" si="14"/>
        <v>0</v>
      </c>
      <c r="U32" s="55">
        <f t="shared" si="15"/>
        <v>1</v>
      </c>
      <c r="V32" s="56">
        <f t="shared" si="15"/>
        <v>0</v>
      </c>
      <c r="W32" s="55">
        <f t="shared" si="15"/>
        <v>0</v>
      </c>
      <c r="X32" s="55">
        <f t="shared" si="15"/>
        <v>0</v>
      </c>
      <c r="Y32" s="55">
        <f t="shared" si="15"/>
        <v>0</v>
      </c>
      <c r="Z32" s="56">
        <f t="shared" si="15"/>
        <v>0</v>
      </c>
      <c r="AA32" s="55">
        <f t="shared" si="15"/>
        <v>0</v>
      </c>
      <c r="AB32" s="55">
        <f t="shared" si="15"/>
        <v>0</v>
      </c>
      <c r="AC32" s="55">
        <f t="shared" si="15"/>
        <v>0</v>
      </c>
      <c r="AD32" s="56">
        <f t="shared" si="15"/>
        <v>0</v>
      </c>
      <c r="AE32" s="54">
        <f t="shared" si="16"/>
        <v>0</v>
      </c>
      <c r="AF32" s="59">
        <f t="shared" si="17"/>
        <v>0</v>
      </c>
      <c r="AG32" s="54" t="str">
        <f t="shared" si="18"/>
        <v>совпадает</v>
      </c>
    </row>
    <row r="33" spans="1:33" x14ac:dyDescent="0.35">
      <c r="A33" s="54">
        <v>7</v>
      </c>
      <c r="B33" s="59">
        <v>0</v>
      </c>
      <c r="C33" s="55">
        <f t="shared" si="11"/>
        <v>0</v>
      </c>
      <c r="D33" s="56">
        <f t="shared" si="12"/>
        <v>1</v>
      </c>
      <c r="E33" s="55">
        <f t="shared" si="12"/>
        <v>0</v>
      </c>
      <c r="F33" s="55">
        <f t="shared" si="12"/>
        <v>0</v>
      </c>
      <c r="G33" s="55">
        <f t="shared" si="12"/>
        <v>0</v>
      </c>
      <c r="H33" s="56">
        <f t="shared" si="12"/>
        <v>0</v>
      </c>
      <c r="I33" s="55">
        <f t="shared" si="12"/>
        <v>0</v>
      </c>
      <c r="J33" s="55">
        <f t="shared" si="12"/>
        <v>0</v>
      </c>
      <c r="K33" s="55">
        <f t="shared" si="12"/>
        <v>0</v>
      </c>
      <c r="L33" s="56">
        <f t="shared" si="12"/>
        <v>0</v>
      </c>
      <c r="M33" s="54">
        <f t="shared" si="13"/>
        <v>1</v>
      </c>
      <c r="N33" s="57">
        <f t="shared" si="19"/>
        <v>1</v>
      </c>
      <c r="S33" s="54">
        <v>7</v>
      </c>
      <c r="T33" s="57">
        <f t="shared" si="14"/>
        <v>1</v>
      </c>
      <c r="U33" s="55">
        <f t="shared" si="15"/>
        <v>0</v>
      </c>
      <c r="V33" s="56">
        <f t="shared" si="15"/>
        <v>1</v>
      </c>
      <c r="W33" s="55">
        <f t="shared" si="15"/>
        <v>0</v>
      </c>
      <c r="X33" s="55">
        <f t="shared" si="15"/>
        <v>0</v>
      </c>
      <c r="Y33" s="55">
        <f t="shared" si="15"/>
        <v>0</v>
      </c>
      <c r="Z33" s="56">
        <f t="shared" si="15"/>
        <v>0</v>
      </c>
      <c r="AA33" s="55">
        <f t="shared" si="15"/>
        <v>0</v>
      </c>
      <c r="AB33" s="55">
        <f t="shared" si="15"/>
        <v>0</v>
      </c>
      <c r="AC33" s="55">
        <f t="shared" si="15"/>
        <v>0</v>
      </c>
      <c r="AD33" s="56">
        <f t="shared" si="15"/>
        <v>0</v>
      </c>
      <c r="AE33" s="54">
        <f t="shared" si="16"/>
        <v>1</v>
      </c>
      <c r="AF33" s="59">
        <f t="shared" si="17"/>
        <v>0</v>
      </c>
      <c r="AG33" s="54" t="str">
        <f t="shared" si="18"/>
        <v>совпадает</v>
      </c>
    </row>
    <row r="34" spans="1:33" x14ac:dyDescent="0.35">
      <c r="A34" s="54">
        <v>8</v>
      </c>
      <c r="B34" s="59">
        <v>1</v>
      </c>
      <c r="C34" s="55">
        <f t="shared" si="11"/>
        <v>1</v>
      </c>
      <c r="D34" s="56">
        <f t="shared" si="12"/>
        <v>0</v>
      </c>
      <c r="E34" s="55">
        <f t="shared" si="12"/>
        <v>1</v>
      </c>
      <c r="F34" s="55">
        <f t="shared" si="12"/>
        <v>0</v>
      </c>
      <c r="G34" s="55">
        <f t="shared" si="12"/>
        <v>0</v>
      </c>
      <c r="H34" s="56">
        <f t="shared" si="12"/>
        <v>0</v>
      </c>
      <c r="I34" s="55">
        <f t="shared" si="12"/>
        <v>0</v>
      </c>
      <c r="J34" s="55">
        <f t="shared" si="12"/>
        <v>0</v>
      </c>
      <c r="K34" s="55">
        <f t="shared" si="12"/>
        <v>0</v>
      </c>
      <c r="L34" s="56">
        <f t="shared" si="12"/>
        <v>0</v>
      </c>
      <c r="M34" s="54">
        <f t="shared" si="13"/>
        <v>0</v>
      </c>
      <c r="N34" s="57">
        <f t="shared" si="19"/>
        <v>1</v>
      </c>
      <c r="S34" s="54">
        <v>8</v>
      </c>
      <c r="T34" s="57">
        <f t="shared" si="14"/>
        <v>1</v>
      </c>
      <c r="U34" s="55">
        <f t="shared" si="15"/>
        <v>1</v>
      </c>
      <c r="V34" s="56">
        <f t="shared" si="15"/>
        <v>0</v>
      </c>
      <c r="W34" s="55">
        <f t="shared" si="15"/>
        <v>1</v>
      </c>
      <c r="X34" s="55">
        <f t="shared" si="15"/>
        <v>0</v>
      </c>
      <c r="Y34" s="55">
        <f t="shared" si="15"/>
        <v>0</v>
      </c>
      <c r="Z34" s="56">
        <f t="shared" si="15"/>
        <v>0</v>
      </c>
      <c r="AA34" s="55">
        <f t="shared" si="15"/>
        <v>0</v>
      </c>
      <c r="AB34" s="55">
        <f t="shared" si="15"/>
        <v>0</v>
      </c>
      <c r="AC34" s="55">
        <f t="shared" si="15"/>
        <v>0</v>
      </c>
      <c r="AD34" s="56">
        <f t="shared" si="15"/>
        <v>0</v>
      </c>
      <c r="AE34" s="54">
        <f t="shared" si="16"/>
        <v>0</v>
      </c>
      <c r="AF34" s="59">
        <f t="shared" si="17"/>
        <v>1</v>
      </c>
      <c r="AG34" s="54" t="str">
        <f t="shared" si="18"/>
        <v>совпадает</v>
      </c>
    </row>
    <row r="35" spans="1:33" x14ac:dyDescent="0.35">
      <c r="A35" s="54">
        <v>9</v>
      </c>
      <c r="B35" s="59">
        <v>0</v>
      </c>
      <c r="C35" s="55">
        <f t="shared" si="11"/>
        <v>1</v>
      </c>
      <c r="D35" s="56">
        <f t="shared" si="12"/>
        <v>1</v>
      </c>
      <c r="E35" s="55">
        <f t="shared" si="12"/>
        <v>0</v>
      </c>
      <c r="F35" s="55">
        <f t="shared" si="12"/>
        <v>1</v>
      </c>
      <c r="G35" s="55">
        <f t="shared" si="12"/>
        <v>0</v>
      </c>
      <c r="H35" s="56">
        <f t="shared" si="12"/>
        <v>0</v>
      </c>
      <c r="I35" s="55">
        <f t="shared" si="12"/>
        <v>0</v>
      </c>
      <c r="J35" s="55">
        <f t="shared" si="12"/>
        <v>0</v>
      </c>
      <c r="K35" s="55">
        <f t="shared" si="12"/>
        <v>0</v>
      </c>
      <c r="L35" s="56">
        <f t="shared" si="12"/>
        <v>0</v>
      </c>
      <c r="M35" s="54">
        <f t="shared" si="13"/>
        <v>1</v>
      </c>
      <c r="N35" s="57">
        <f t="shared" si="19"/>
        <v>1</v>
      </c>
      <c r="S35" s="54">
        <v>9</v>
      </c>
      <c r="T35" s="57">
        <f t="shared" si="14"/>
        <v>1</v>
      </c>
      <c r="U35" s="55">
        <f t="shared" si="15"/>
        <v>1</v>
      </c>
      <c r="V35" s="56">
        <f t="shared" si="15"/>
        <v>1</v>
      </c>
      <c r="W35" s="55">
        <f t="shared" si="15"/>
        <v>0</v>
      </c>
      <c r="X35" s="55">
        <f t="shared" si="15"/>
        <v>1</v>
      </c>
      <c r="Y35" s="55">
        <f t="shared" si="15"/>
        <v>0</v>
      </c>
      <c r="Z35" s="56">
        <f t="shared" si="15"/>
        <v>0</v>
      </c>
      <c r="AA35" s="55">
        <f t="shared" si="15"/>
        <v>0</v>
      </c>
      <c r="AB35" s="55">
        <f t="shared" si="15"/>
        <v>0</v>
      </c>
      <c r="AC35" s="55">
        <f t="shared" si="15"/>
        <v>0</v>
      </c>
      <c r="AD35" s="56">
        <f t="shared" si="15"/>
        <v>0</v>
      </c>
      <c r="AE35" s="54">
        <f t="shared" si="16"/>
        <v>1</v>
      </c>
      <c r="AF35" s="59">
        <f t="shared" si="17"/>
        <v>0</v>
      </c>
      <c r="AG35" s="54" t="str">
        <f t="shared" si="18"/>
        <v>совпадает</v>
      </c>
    </row>
    <row r="36" spans="1:33" x14ac:dyDescent="0.35">
      <c r="A36" s="54">
        <v>10</v>
      </c>
      <c r="B36" s="59">
        <v>0</v>
      </c>
      <c r="C36" s="55">
        <f t="shared" si="11"/>
        <v>1</v>
      </c>
      <c r="D36" s="56">
        <f t="shared" si="12"/>
        <v>1</v>
      </c>
      <c r="E36" s="55">
        <f t="shared" si="12"/>
        <v>1</v>
      </c>
      <c r="F36" s="55">
        <f t="shared" si="12"/>
        <v>0</v>
      </c>
      <c r="G36" s="55">
        <f t="shared" si="12"/>
        <v>1</v>
      </c>
      <c r="H36" s="56">
        <f t="shared" si="12"/>
        <v>0</v>
      </c>
      <c r="I36" s="55">
        <f t="shared" si="12"/>
        <v>0</v>
      </c>
      <c r="J36" s="55">
        <f t="shared" si="12"/>
        <v>0</v>
      </c>
      <c r="K36" s="55">
        <f t="shared" si="12"/>
        <v>0</v>
      </c>
      <c r="L36" s="56">
        <f t="shared" si="12"/>
        <v>0</v>
      </c>
      <c r="M36" s="54">
        <f t="shared" si="13"/>
        <v>1</v>
      </c>
      <c r="N36" s="57">
        <f t="shared" si="19"/>
        <v>1</v>
      </c>
      <c r="S36" s="54">
        <v>10</v>
      </c>
      <c r="T36" s="57">
        <f t="shared" si="14"/>
        <v>1</v>
      </c>
      <c r="U36" s="55">
        <f t="shared" si="15"/>
        <v>1</v>
      </c>
      <c r="V36" s="56">
        <f t="shared" si="15"/>
        <v>1</v>
      </c>
      <c r="W36" s="55">
        <f t="shared" si="15"/>
        <v>1</v>
      </c>
      <c r="X36" s="55">
        <f t="shared" si="15"/>
        <v>0</v>
      </c>
      <c r="Y36" s="55">
        <f t="shared" si="15"/>
        <v>1</v>
      </c>
      <c r="Z36" s="56">
        <f t="shared" si="15"/>
        <v>0</v>
      </c>
      <c r="AA36" s="55">
        <f t="shared" si="15"/>
        <v>0</v>
      </c>
      <c r="AB36" s="55">
        <f t="shared" si="15"/>
        <v>0</v>
      </c>
      <c r="AC36" s="55">
        <f t="shared" si="15"/>
        <v>0</v>
      </c>
      <c r="AD36" s="56">
        <f t="shared" si="15"/>
        <v>0</v>
      </c>
      <c r="AE36" s="54">
        <f t="shared" si="16"/>
        <v>1</v>
      </c>
      <c r="AF36" s="59">
        <f t="shared" si="17"/>
        <v>0</v>
      </c>
      <c r="AG36" s="54" t="str">
        <f t="shared" si="18"/>
        <v>совпадает</v>
      </c>
    </row>
    <row r="38" spans="1:33" x14ac:dyDescent="0.35">
      <c r="A38" s="50" t="s">
        <v>48</v>
      </c>
      <c r="S38" s="50" t="s">
        <v>49</v>
      </c>
    </row>
    <row r="39" spans="1:33" x14ac:dyDescent="0.35">
      <c r="A39" s="51" t="str">
        <f>N27&amp;N28&amp;N29&amp;N30&amp;N31&amp;N32&amp;N33&amp;N34&amp;N35&amp;N36</f>
        <v>0000101111</v>
      </c>
      <c r="B39" s="65"/>
      <c r="C39" s="65"/>
      <c r="S39" s="51" t="str">
        <f>AF27&amp;AF28&amp;AF29&amp;AF30&amp;AF31&amp;AF32&amp;AF33&amp;AF34&amp;AF35&amp;AF36</f>
        <v>0000100100</v>
      </c>
      <c r="T39" s="65"/>
      <c r="U39" s="65"/>
    </row>
    <row r="40" spans="1:33" x14ac:dyDescent="0.35">
      <c r="S40" s="61" t="str">
        <f>IF(COUNTIF(AG27:AG36,"совпадает")=10,"сообщение восстановлено полностью","ошибка восстановления")</f>
        <v>сообщение восстановлено полностью</v>
      </c>
      <c r="T40" s="62"/>
      <c r="U40" s="62"/>
      <c r="V40" s="62"/>
      <c r="W40" s="62"/>
      <c r="X40" s="62"/>
      <c r="Y40" s="62"/>
      <c r="Z40" s="62"/>
    </row>
    <row r="44" spans="1:33" x14ac:dyDescent="0.35">
      <c r="A44" t="s">
        <v>51</v>
      </c>
    </row>
    <row r="45" spans="1:33" x14ac:dyDescent="0.35">
      <c r="A45" s="58" t="s">
        <v>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D9BD1-36F8-4113-9F0E-F89BADACBBDA}">
  <dimension ref="A1:K56"/>
  <sheetViews>
    <sheetView workbookViewId="0">
      <selection activeCell="J10" sqref="J10"/>
    </sheetView>
  </sheetViews>
  <sheetFormatPr defaultColWidth="8.90625" defaultRowHeight="18" x14ac:dyDescent="0.35"/>
  <cols>
    <col min="1" max="1" width="8.90625" style="58"/>
    <col min="2" max="2" width="25.81640625" style="58" customWidth="1"/>
    <col min="3" max="8" width="8.90625" style="58"/>
    <col min="9" max="9" width="11.90625" style="58" bestFit="1" customWidth="1"/>
    <col min="10" max="10" width="14.54296875" style="58" customWidth="1"/>
    <col min="11" max="16384" width="8.90625" style="58"/>
  </cols>
  <sheetData>
    <row r="1" spans="1:11" x14ac:dyDescent="0.35">
      <c r="A1" s="58" t="s">
        <v>72</v>
      </c>
      <c r="C1" s="58" t="s">
        <v>55</v>
      </c>
    </row>
    <row r="2" spans="1:11" x14ac:dyDescent="0.35">
      <c r="A2" s="70" t="s">
        <v>73</v>
      </c>
      <c r="B2" s="71" t="s">
        <v>2</v>
      </c>
    </row>
    <row r="3" spans="1:11" x14ac:dyDescent="0.35">
      <c r="A3" s="72">
        <v>10</v>
      </c>
      <c r="B3" s="73" t="s">
        <v>3</v>
      </c>
    </row>
    <row r="4" spans="1:11" x14ac:dyDescent="0.35">
      <c r="C4" s="78">
        <v>1</v>
      </c>
      <c r="D4" s="78">
        <v>2</v>
      </c>
      <c r="E4" s="78">
        <v>3</v>
      </c>
      <c r="F4" s="78">
        <v>4</v>
      </c>
      <c r="G4" s="78">
        <v>5</v>
      </c>
      <c r="H4" s="78">
        <v>6</v>
      </c>
      <c r="I4" s="78">
        <v>7</v>
      </c>
      <c r="J4" s="78">
        <v>8</v>
      </c>
      <c r="K4" s="78">
        <v>9</v>
      </c>
    </row>
    <row r="5" spans="1:11" x14ac:dyDescent="0.35">
      <c r="B5" s="76" t="s">
        <v>74</v>
      </c>
      <c r="C5" s="78">
        <v>0</v>
      </c>
    </row>
    <row r="6" spans="1:11" x14ac:dyDescent="0.35">
      <c r="B6" s="76" t="s">
        <v>75</v>
      </c>
      <c r="C6" s="54">
        <f>VALUE(MID($B$3,C$4,1))</f>
        <v>0</v>
      </c>
      <c r="D6" s="54">
        <f t="shared" ref="D6:J6" si="0">VALUE(MID($B$3,D$4,1))</f>
        <v>0</v>
      </c>
      <c r="E6" s="54">
        <f t="shared" si="0"/>
        <v>0</v>
      </c>
      <c r="F6" s="54">
        <f t="shared" si="0"/>
        <v>1</v>
      </c>
      <c r="G6" s="54">
        <f t="shared" si="0"/>
        <v>0</v>
      </c>
      <c r="H6" s="54">
        <f t="shared" si="0"/>
        <v>0</v>
      </c>
      <c r="I6" s="54">
        <f t="shared" si="0"/>
        <v>1</v>
      </c>
      <c r="J6" s="54">
        <f t="shared" si="0"/>
        <v>0</v>
      </c>
      <c r="K6" s="54">
        <f>VALUE(MID($B$3,K$4,1))</f>
        <v>0</v>
      </c>
    </row>
    <row r="7" spans="1:11" x14ac:dyDescent="0.35">
      <c r="C7" s="75" t="s">
        <v>56</v>
      </c>
      <c r="D7" s="75" t="s">
        <v>57</v>
      </c>
      <c r="E7" s="75" t="s">
        <v>58</v>
      </c>
      <c r="F7" s="75" t="s">
        <v>59</v>
      </c>
      <c r="G7" s="75" t="s">
        <v>60</v>
      </c>
      <c r="H7" s="75" t="s">
        <v>61</v>
      </c>
      <c r="I7" s="75" t="s">
        <v>62</v>
      </c>
      <c r="J7" s="75" t="s">
        <v>63</v>
      </c>
      <c r="K7" s="75" t="s">
        <v>64</v>
      </c>
    </row>
    <row r="8" spans="1:11" ht="18.600000000000001" thickBot="1" x14ac:dyDescent="0.4"/>
    <row r="9" spans="1:11" ht="34.799999999999997" x14ac:dyDescent="0.35">
      <c r="B9" s="87" t="s">
        <v>65</v>
      </c>
      <c r="C9" s="89" t="s">
        <v>76</v>
      </c>
      <c r="D9" s="93" t="s">
        <v>66</v>
      </c>
      <c r="E9" s="94" t="s">
        <v>67</v>
      </c>
      <c r="F9" s="94" t="s">
        <v>68</v>
      </c>
      <c r="G9" s="95" t="s">
        <v>69</v>
      </c>
      <c r="H9" s="91" t="s">
        <v>70</v>
      </c>
      <c r="I9" s="87" t="s">
        <v>71</v>
      </c>
    </row>
    <row r="10" spans="1:11" x14ac:dyDescent="0.35">
      <c r="B10" s="70">
        <v>1</v>
      </c>
      <c r="C10" s="90" t="str">
        <f>G10&amp;F10&amp;E10&amp;D10</f>
        <v>0001</v>
      </c>
      <c r="D10" s="96">
        <f>MOD(B10,2)</f>
        <v>1</v>
      </c>
      <c r="E10" s="70">
        <f t="shared" ref="E10:E22" si="1">MOD(INT(B10/2),2)</f>
        <v>0</v>
      </c>
      <c r="F10" s="70">
        <f t="shared" ref="F10:F22" si="2">MOD(INT(B10/4),2)</f>
        <v>0</v>
      </c>
      <c r="G10" s="97">
        <f t="shared" ref="G10:G22" si="3">MOD(INT(B10/8),2)</f>
        <v>0</v>
      </c>
      <c r="H10" s="92" t="str">
        <f t="shared" ref="H10:H22" si="4">IF(OR(B10=1,B10=2,B10=4,B10=8),"контрольный","информационный")</f>
        <v>контрольный</v>
      </c>
      <c r="I10" s="88">
        <f>MOD(_xlfn.XOR($C$6,$D$6,$F$6,$G$6,$I$6,$K$6)+$C$5,2)</f>
        <v>0</v>
      </c>
    </row>
    <row r="11" spans="1:11" x14ac:dyDescent="0.35">
      <c r="B11" s="70">
        <v>2</v>
      </c>
      <c r="C11" s="90" t="str">
        <f t="shared" ref="C11:C22" si="5">G11&amp;F11&amp;E11&amp;D11</f>
        <v>0010</v>
      </c>
      <c r="D11" s="96">
        <f t="shared" ref="D11:D22" si="6">MOD(B11,2)</f>
        <v>0</v>
      </c>
      <c r="E11" s="70">
        <f t="shared" si="1"/>
        <v>1</v>
      </c>
      <c r="F11" s="70">
        <f t="shared" si="2"/>
        <v>0</v>
      </c>
      <c r="G11" s="97">
        <f t="shared" si="3"/>
        <v>0</v>
      </c>
      <c r="H11" s="92" t="str">
        <f t="shared" si="4"/>
        <v>контрольный</v>
      </c>
      <c r="I11" s="88">
        <f>MOD(_xlfn.XOR($C$6,$E$6,$F$6,$H$6,$I$6)+$C$5,2)</f>
        <v>0</v>
      </c>
    </row>
    <row r="12" spans="1:11" x14ac:dyDescent="0.35">
      <c r="B12" s="70">
        <v>3</v>
      </c>
      <c r="C12" s="90" t="str">
        <f t="shared" si="5"/>
        <v>0011</v>
      </c>
      <c r="D12" s="96">
        <f t="shared" si="6"/>
        <v>1</v>
      </c>
      <c r="E12" s="70">
        <f t="shared" si="1"/>
        <v>1</v>
      </c>
      <c r="F12" s="70">
        <f t="shared" si="2"/>
        <v>0</v>
      </c>
      <c r="G12" s="97">
        <f t="shared" si="3"/>
        <v>0</v>
      </c>
      <c r="H12" s="92" t="str">
        <f t="shared" si="4"/>
        <v>информационный</v>
      </c>
      <c r="I12" s="70">
        <f>INDEX($C$6:$K$6,1)</f>
        <v>0</v>
      </c>
    </row>
    <row r="13" spans="1:11" x14ac:dyDescent="0.35">
      <c r="B13" s="70">
        <v>4</v>
      </c>
      <c r="C13" s="90" t="str">
        <f t="shared" si="5"/>
        <v>0100</v>
      </c>
      <c r="D13" s="96">
        <f t="shared" si="6"/>
        <v>0</v>
      </c>
      <c r="E13" s="70">
        <f t="shared" si="1"/>
        <v>0</v>
      </c>
      <c r="F13" s="70">
        <f t="shared" si="2"/>
        <v>1</v>
      </c>
      <c r="G13" s="97">
        <f t="shared" si="3"/>
        <v>0</v>
      </c>
      <c r="H13" s="92" t="str">
        <f t="shared" si="4"/>
        <v>контрольный</v>
      </c>
      <c r="I13" s="88">
        <f>MOD(_xlfn.XOR($D$6,$E$6,$F$6,$J$6,$K$6)+$C$5,2)</f>
        <v>1</v>
      </c>
    </row>
    <row r="14" spans="1:11" x14ac:dyDescent="0.35">
      <c r="B14" s="70">
        <v>5</v>
      </c>
      <c r="C14" s="90" t="str">
        <f t="shared" si="5"/>
        <v>0101</v>
      </c>
      <c r="D14" s="96">
        <f t="shared" si="6"/>
        <v>1</v>
      </c>
      <c r="E14" s="70">
        <f t="shared" si="1"/>
        <v>0</v>
      </c>
      <c r="F14" s="70">
        <f t="shared" si="2"/>
        <v>1</v>
      </c>
      <c r="G14" s="97">
        <f t="shared" si="3"/>
        <v>0</v>
      </c>
      <c r="H14" s="92" t="str">
        <f t="shared" si="4"/>
        <v>информационный</v>
      </c>
      <c r="I14" s="70">
        <f>INDEX($C$6:$K$6,2)</f>
        <v>0</v>
      </c>
    </row>
    <row r="15" spans="1:11" x14ac:dyDescent="0.35">
      <c r="B15" s="70">
        <v>6</v>
      </c>
      <c r="C15" s="90" t="str">
        <f t="shared" si="5"/>
        <v>0110</v>
      </c>
      <c r="D15" s="96">
        <f t="shared" si="6"/>
        <v>0</v>
      </c>
      <c r="E15" s="70">
        <f t="shared" si="1"/>
        <v>1</v>
      </c>
      <c r="F15" s="70">
        <f t="shared" si="2"/>
        <v>1</v>
      </c>
      <c r="G15" s="97">
        <f t="shared" si="3"/>
        <v>0</v>
      </c>
      <c r="H15" s="92" t="str">
        <f t="shared" si="4"/>
        <v>информационный</v>
      </c>
      <c r="I15" s="70">
        <f>INDEX($C$6:$K$6,3)</f>
        <v>0</v>
      </c>
    </row>
    <row r="16" spans="1:11" x14ac:dyDescent="0.35">
      <c r="B16" s="70">
        <v>7</v>
      </c>
      <c r="C16" s="90" t="str">
        <f t="shared" si="5"/>
        <v>0111</v>
      </c>
      <c r="D16" s="96">
        <f t="shared" si="6"/>
        <v>1</v>
      </c>
      <c r="E16" s="70">
        <f t="shared" si="1"/>
        <v>1</v>
      </c>
      <c r="F16" s="70">
        <f t="shared" si="2"/>
        <v>1</v>
      </c>
      <c r="G16" s="97">
        <f t="shared" si="3"/>
        <v>0</v>
      </c>
      <c r="H16" s="92" t="str">
        <f t="shared" si="4"/>
        <v>информационный</v>
      </c>
      <c r="I16" s="70">
        <f>INDEX($C$6:$K$6,4)</f>
        <v>1</v>
      </c>
    </row>
    <row r="17" spans="2:10" x14ac:dyDescent="0.35">
      <c r="B17" s="70">
        <v>8</v>
      </c>
      <c r="C17" s="90" t="str">
        <f t="shared" si="5"/>
        <v>1000</v>
      </c>
      <c r="D17" s="96">
        <f t="shared" si="6"/>
        <v>0</v>
      </c>
      <c r="E17" s="70">
        <f t="shared" si="1"/>
        <v>0</v>
      </c>
      <c r="F17" s="70">
        <f t="shared" si="2"/>
        <v>0</v>
      </c>
      <c r="G17" s="97">
        <f t="shared" si="3"/>
        <v>1</v>
      </c>
      <c r="H17" s="92" t="str">
        <f t="shared" si="4"/>
        <v>контрольный</v>
      </c>
      <c r="I17" s="88">
        <f>MOD(_xlfn.XOR($G$6,$H$6,$I$6,$J$6,$K$6)+$C$5,2)</f>
        <v>1</v>
      </c>
    </row>
    <row r="18" spans="2:10" x14ac:dyDescent="0.35">
      <c r="B18" s="70">
        <v>9</v>
      </c>
      <c r="C18" s="90" t="str">
        <f t="shared" si="5"/>
        <v>1001</v>
      </c>
      <c r="D18" s="96">
        <f t="shared" si="6"/>
        <v>1</v>
      </c>
      <c r="E18" s="70">
        <f t="shared" si="1"/>
        <v>0</v>
      </c>
      <c r="F18" s="70">
        <f t="shared" si="2"/>
        <v>0</v>
      </c>
      <c r="G18" s="97">
        <f t="shared" si="3"/>
        <v>1</v>
      </c>
      <c r="H18" s="92" t="str">
        <f t="shared" si="4"/>
        <v>информационный</v>
      </c>
      <c r="I18" s="70">
        <f>INDEX($C$6:$K$6,5)</f>
        <v>0</v>
      </c>
    </row>
    <row r="19" spans="2:10" x14ac:dyDescent="0.35">
      <c r="B19" s="70">
        <v>10</v>
      </c>
      <c r="C19" s="90" t="str">
        <f t="shared" si="5"/>
        <v>1010</v>
      </c>
      <c r="D19" s="96">
        <f t="shared" si="6"/>
        <v>0</v>
      </c>
      <c r="E19" s="70">
        <f t="shared" si="1"/>
        <v>1</v>
      </c>
      <c r="F19" s="70">
        <f t="shared" si="2"/>
        <v>0</v>
      </c>
      <c r="G19" s="97">
        <f t="shared" si="3"/>
        <v>1</v>
      </c>
      <c r="H19" s="92" t="str">
        <f t="shared" si="4"/>
        <v>информационный</v>
      </c>
      <c r="I19" s="70">
        <f>INDEX($C$6:$K$6,6)</f>
        <v>0</v>
      </c>
    </row>
    <row r="20" spans="2:10" x14ac:dyDescent="0.35">
      <c r="B20" s="70">
        <v>11</v>
      </c>
      <c r="C20" s="90" t="str">
        <f t="shared" si="5"/>
        <v>1011</v>
      </c>
      <c r="D20" s="96">
        <f t="shared" si="6"/>
        <v>1</v>
      </c>
      <c r="E20" s="70">
        <f t="shared" si="1"/>
        <v>1</v>
      </c>
      <c r="F20" s="70">
        <f t="shared" si="2"/>
        <v>0</v>
      </c>
      <c r="G20" s="97">
        <f t="shared" si="3"/>
        <v>1</v>
      </c>
      <c r="H20" s="92" t="str">
        <f t="shared" si="4"/>
        <v>информационный</v>
      </c>
      <c r="I20" s="70">
        <f>INDEX($C$6:$K$6,7)</f>
        <v>1</v>
      </c>
    </row>
    <row r="21" spans="2:10" x14ac:dyDescent="0.35">
      <c r="B21" s="70">
        <v>12</v>
      </c>
      <c r="C21" s="90" t="str">
        <f t="shared" si="5"/>
        <v>1100</v>
      </c>
      <c r="D21" s="96">
        <f t="shared" si="6"/>
        <v>0</v>
      </c>
      <c r="E21" s="70">
        <f t="shared" si="1"/>
        <v>0</v>
      </c>
      <c r="F21" s="70">
        <f t="shared" si="2"/>
        <v>1</v>
      </c>
      <c r="G21" s="97">
        <f t="shared" si="3"/>
        <v>1</v>
      </c>
      <c r="H21" s="92" t="str">
        <f t="shared" si="4"/>
        <v>информационный</v>
      </c>
      <c r="I21" s="70">
        <f>INDEX($C$6:$K$6,8)</f>
        <v>0</v>
      </c>
    </row>
    <row r="22" spans="2:10" ht="18.600000000000001" thickBot="1" x14ac:dyDescent="0.4">
      <c r="B22" s="70">
        <v>13</v>
      </c>
      <c r="C22" s="90" t="str">
        <f t="shared" si="5"/>
        <v>1101</v>
      </c>
      <c r="D22" s="98">
        <f t="shared" si="6"/>
        <v>1</v>
      </c>
      <c r="E22" s="99">
        <f t="shared" si="1"/>
        <v>0</v>
      </c>
      <c r="F22" s="99">
        <f t="shared" si="2"/>
        <v>1</v>
      </c>
      <c r="G22" s="100">
        <f t="shared" si="3"/>
        <v>1</v>
      </c>
      <c r="H22" s="92" t="str">
        <f t="shared" si="4"/>
        <v>информационный</v>
      </c>
      <c r="I22" s="70">
        <f>INDEX($C$6:$K$6,9)</f>
        <v>0</v>
      </c>
    </row>
    <row r="24" spans="2:10" x14ac:dyDescent="0.35">
      <c r="B24" s="74" t="s">
        <v>77</v>
      </c>
      <c r="C24" s="108" t="str">
        <f>I10&amp;I11&amp;I12&amp;I13&amp;I14&amp;I15&amp;I16&amp;I17&amp;I18&amp;I19&amp;I20&amp;I21&amp;I22</f>
        <v>0001001100100</v>
      </c>
      <c r="D24" s="109"/>
    </row>
    <row r="25" spans="2:10" x14ac:dyDescent="0.35">
      <c r="B25" s="58" t="s">
        <v>92</v>
      </c>
    </row>
    <row r="27" spans="2:10" x14ac:dyDescent="0.35">
      <c r="B27" s="74" t="s">
        <v>78</v>
      </c>
    </row>
    <row r="28" spans="2:10" x14ac:dyDescent="0.35">
      <c r="B28" s="58" t="s">
        <v>89</v>
      </c>
      <c r="C28" s="86">
        <v>7</v>
      </c>
      <c r="E28" s="74" t="s">
        <v>90</v>
      </c>
      <c r="H28" s="86">
        <f>D51</f>
        <v>7</v>
      </c>
    </row>
    <row r="29" spans="2:10" ht="18.600000000000001" thickBot="1" x14ac:dyDescent="0.4"/>
    <row r="30" spans="2:10" x14ac:dyDescent="0.35">
      <c r="B30" s="53" t="s">
        <v>65</v>
      </c>
      <c r="C30" s="53" t="s">
        <v>79</v>
      </c>
      <c r="D30" s="101" t="s">
        <v>91</v>
      </c>
      <c r="E30" s="105" t="s">
        <v>80</v>
      </c>
      <c r="F30" s="106" t="s">
        <v>81</v>
      </c>
      <c r="G30" s="106" t="s">
        <v>82</v>
      </c>
      <c r="H30" s="107" t="s">
        <v>83</v>
      </c>
      <c r="I30" s="103" t="s">
        <v>84</v>
      </c>
      <c r="J30" s="103" t="s">
        <v>39</v>
      </c>
    </row>
    <row r="31" spans="2:10" x14ac:dyDescent="0.35">
      <c r="B31" s="54">
        <v>1</v>
      </c>
      <c r="C31" s="54">
        <f>I10</f>
        <v>0</v>
      </c>
      <c r="D31" s="79">
        <f>IF($C$28=B31,1-C31,C31)</f>
        <v>0</v>
      </c>
      <c r="E31" s="80">
        <f t="shared" ref="E31:E43" si="7">MOD(INT(B31/1),2)</f>
        <v>1</v>
      </c>
      <c r="F31" s="54">
        <f t="shared" ref="F31:F43" si="8">MOD(INT(B31/2),2)</f>
        <v>0</v>
      </c>
      <c r="G31" s="54">
        <f t="shared" ref="G31:G43" si="9">MOD(INT(B31/4),2)</f>
        <v>0</v>
      </c>
      <c r="H31" s="81">
        <f t="shared" ref="H31:H43" si="10">MOD(INT(B31/8),2)</f>
        <v>0</v>
      </c>
      <c r="I31" s="112">
        <f>IF(B31=$H$28,1-D31,D31)</f>
        <v>0</v>
      </c>
      <c r="J31" s="78" t="str">
        <f>IF(I31=C31,"совпадает","НЕ совпадает")</f>
        <v>совпадает</v>
      </c>
    </row>
    <row r="32" spans="2:10" x14ac:dyDescent="0.35">
      <c r="B32" s="54">
        <v>2</v>
      </c>
      <c r="C32" s="54">
        <f t="shared" ref="C32:C43" si="11">I11</f>
        <v>0</v>
      </c>
      <c r="D32" s="79">
        <f t="shared" ref="D32:D43" si="12">IF($C$28=B32,1-C32,C32)</f>
        <v>0</v>
      </c>
      <c r="E32" s="80">
        <f t="shared" si="7"/>
        <v>0</v>
      </c>
      <c r="F32" s="54">
        <f t="shared" si="8"/>
        <v>1</v>
      </c>
      <c r="G32" s="54">
        <f t="shared" si="9"/>
        <v>0</v>
      </c>
      <c r="H32" s="81">
        <f t="shared" si="10"/>
        <v>0</v>
      </c>
      <c r="I32" s="112">
        <f t="shared" ref="I32:I43" si="13">IF(B32=$H$28,1-D32,D32)</f>
        <v>0</v>
      </c>
      <c r="J32" s="78" t="str">
        <f t="shared" ref="J32:J43" si="14">IF(I32=C32,"совпадает","НЕ совпадает")</f>
        <v>совпадает</v>
      </c>
    </row>
    <row r="33" spans="2:10" x14ac:dyDescent="0.35">
      <c r="B33" s="54">
        <v>3</v>
      </c>
      <c r="C33" s="54">
        <f t="shared" si="11"/>
        <v>0</v>
      </c>
      <c r="D33" s="79">
        <f t="shared" si="12"/>
        <v>0</v>
      </c>
      <c r="E33" s="80">
        <f t="shared" si="7"/>
        <v>1</v>
      </c>
      <c r="F33" s="54">
        <f t="shared" si="8"/>
        <v>1</v>
      </c>
      <c r="G33" s="54">
        <f t="shared" si="9"/>
        <v>0</v>
      </c>
      <c r="H33" s="81">
        <f t="shared" si="10"/>
        <v>0</v>
      </c>
      <c r="I33" s="104">
        <f t="shared" si="13"/>
        <v>0</v>
      </c>
      <c r="J33" s="78" t="str">
        <f t="shared" si="14"/>
        <v>совпадает</v>
      </c>
    </row>
    <row r="34" spans="2:10" x14ac:dyDescent="0.35">
      <c r="B34" s="54">
        <v>4</v>
      </c>
      <c r="C34" s="54">
        <f t="shared" si="11"/>
        <v>1</v>
      </c>
      <c r="D34" s="79">
        <f t="shared" si="12"/>
        <v>1</v>
      </c>
      <c r="E34" s="80">
        <f t="shared" si="7"/>
        <v>0</v>
      </c>
      <c r="F34" s="54">
        <f t="shared" si="8"/>
        <v>0</v>
      </c>
      <c r="G34" s="54">
        <f t="shared" si="9"/>
        <v>1</v>
      </c>
      <c r="H34" s="81">
        <f t="shared" si="10"/>
        <v>0</v>
      </c>
      <c r="I34" s="112">
        <f t="shared" si="13"/>
        <v>1</v>
      </c>
      <c r="J34" s="78" t="str">
        <f t="shared" si="14"/>
        <v>совпадает</v>
      </c>
    </row>
    <row r="35" spans="2:10" x14ac:dyDescent="0.35">
      <c r="B35" s="54">
        <v>5</v>
      </c>
      <c r="C35" s="54">
        <f t="shared" si="11"/>
        <v>0</v>
      </c>
      <c r="D35" s="79">
        <f t="shared" si="12"/>
        <v>0</v>
      </c>
      <c r="E35" s="80">
        <f t="shared" si="7"/>
        <v>1</v>
      </c>
      <c r="F35" s="54">
        <f t="shared" si="8"/>
        <v>0</v>
      </c>
      <c r="G35" s="54">
        <f t="shared" si="9"/>
        <v>1</v>
      </c>
      <c r="H35" s="81">
        <f t="shared" si="10"/>
        <v>0</v>
      </c>
      <c r="I35" s="104">
        <f t="shared" si="13"/>
        <v>0</v>
      </c>
      <c r="J35" s="78" t="str">
        <f t="shared" si="14"/>
        <v>совпадает</v>
      </c>
    </row>
    <row r="36" spans="2:10" x14ac:dyDescent="0.35">
      <c r="B36" s="54">
        <v>6</v>
      </c>
      <c r="C36" s="54">
        <f t="shared" si="11"/>
        <v>0</v>
      </c>
      <c r="D36" s="79">
        <f t="shared" si="12"/>
        <v>0</v>
      </c>
      <c r="E36" s="80">
        <f t="shared" si="7"/>
        <v>0</v>
      </c>
      <c r="F36" s="54">
        <f>MOD(INT(B36/2),2)</f>
        <v>1</v>
      </c>
      <c r="G36" s="54">
        <f t="shared" si="9"/>
        <v>1</v>
      </c>
      <c r="H36" s="81">
        <f t="shared" si="10"/>
        <v>0</v>
      </c>
      <c r="I36" s="104">
        <f t="shared" si="13"/>
        <v>0</v>
      </c>
      <c r="J36" s="78" t="str">
        <f t="shared" si="14"/>
        <v>совпадает</v>
      </c>
    </row>
    <row r="37" spans="2:10" x14ac:dyDescent="0.35">
      <c r="B37" s="54">
        <v>7</v>
      </c>
      <c r="C37" s="59">
        <f t="shared" si="11"/>
        <v>1</v>
      </c>
      <c r="D37" s="102">
        <f t="shared" si="12"/>
        <v>0</v>
      </c>
      <c r="E37" s="80">
        <f t="shared" si="7"/>
        <v>1</v>
      </c>
      <c r="F37" s="54">
        <f t="shared" si="8"/>
        <v>1</v>
      </c>
      <c r="G37" s="54">
        <f t="shared" si="9"/>
        <v>1</v>
      </c>
      <c r="H37" s="81">
        <f t="shared" si="10"/>
        <v>0</v>
      </c>
      <c r="I37" s="104">
        <f t="shared" si="13"/>
        <v>1</v>
      </c>
      <c r="J37" s="78" t="str">
        <f t="shared" si="14"/>
        <v>совпадает</v>
      </c>
    </row>
    <row r="38" spans="2:10" x14ac:dyDescent="0.35">
      <c r="B38" s="54">
        <v>8</v>
      </c>
      <c r="C38" s="54">
        <f t="shared" si="11"/>
        <v>1</v>
      </c>
      <c r="D38" s="79">
        <f t="shared" si="12"/>
        <v>1</v>
      </c>
      <c r="E38" s="80">
        <f t="shared" si="7"/>
        <v>0</v>
      </c>
      <c r="F38" s="54">
        <f t="shared" si="8"/>
        <v>0</v>
      </c>
      <c r="G38" s="54">
        <f t="shared" si="9"/>
        <v>0</v>
      </c>
      <c r="H38" s="81">
        <f t="shared" si="10"/>
        <v>1</v>
      </c>
      <c r="I38" s="112">
        <f t="shared" si="13"/>
        <v>1</v>
      </c>
      <c r="J38" s="78" t="str">
        <f t="shared" si="14"/>
        <v>совпадает</v>
      </c>
    </row>
    <row r="39" spans="2:10" x14ac:dyDescent="0.35">
      <c r="B39" s="54">
        <v>9</v>
      </c>
      <c r="C39" s="54">
        <f t="shared" si="11"/>
        <v>0</v>
      </c>
      <c r="D39" s="79">
        <f t="shared" si="12"/>
        <v>0</v>
      </c>
      <c r="E39" s="80">
        <f t="shared" si="7"/>
        <v>1</v>
      </c>
      <c r="F39" s="54">
        <f t="shared" si="8"/>
        <v>0</v>
      </c>
      <c r="G39" s="54">
        <f t="shared" si="9"/>
        <v>0</v>
      </c>
      <c r="H39" s="81">
        <f t="shared" si="10"/>
        <v>1</v>
      </c>
      <c r="I39" s="104">
        <f t="shared" si="13"/>
        <v>0</v>
      </c>
      <c r="J39" s="78" t="str">
        <f t="shared" si="14"/>
        <v>совпадает</v>
      </c>
    </row>
    <row r="40" spans="2:10" x14ac:dyDescent="0.35">
      <c r="B40" s="54">
        <v>10</v>
      </c>
      <c r="C40" s="54">
        <f t="shared" si="11"/>
        <v>0</v>
      </c>
      <c r="D40" s="79">
        <f t="shared" si="12"/>
        <v>0</v>
      </c>
      <c r="E40" s="80">
        <f t="shared" si="7"/>
        <v>0</v>
      </c>
      <c r="F40" s="54">
        <f t="shared" si="8"/>
        <v>1</v>
      </c>
      <c r="G40" s="54">
        <f t="shared" si="9"/>
        <v>0</v>
      </c>
      <c r="H40" s="81">
        <f t="shared" si="10"/>
        <v>1</v>
      </c>
      <c r="I40" s="104">
        <f t="shared" si="13"/>
        <v>0</v>
      </c>
      <c r="J40" s="78" t="str">
        <f t="shared" si="14"/>
        <v>совпадает</v>
      </c>
    </row>
    <row r="41" spans="2:10" x14ac:dyDescent="0.35">
      <c r="B41" s="54">
        <v>11</v>
      </c>
      <c r="C41" s="54">
        <f t="shared" si="11"/>
        <v>1</v>
      </c>
      <c r="D41" s="79">
        <f t="shared" si="12"/>
        <v>1</v>
      </c>
      <c r="E41" s="80">
        <f t="shared" si="7"/>
        <v>1</v>
      </c>
      <c r="F41" s="54">
        <f t="shared" si="8"/>
        <v>1</v>
      </c>
      <c r="G41" s="54">
        <f t="shared" si="9"/>
        <v>0</v>
      </c>
      <c r="H41" s="81">
        <f t="shared" si="10"/>
        <v>1</v>
      </c>
      <c r="I41" s="104">
        <f t="shared" si="13"/>
        <v>1</v>
      </c>
      <c r="J41" s="78" t="str">
        <f t="shared" si="14"/>
        <v>совпадает</v>
      </c>
    </row>
    <row r="42" spans="2:10" x14ac:dyDescent="0.35">
      <c r="B42" s="54">
        <v>12</v>
      </c>
      <c r="C42" s="54">
        <f t="shared" si="11"/>
        <v>0</v>
      </c>
      <c r="D42" s="79">
        <f t="shared" si="12"/>
        <v>0</v>
      </c>
      <c r="E42" s="80">
        <f t="shared" si="7"/>
        <v>0</v>
      </c>
      <c r="F42" s="54">
        <f t="shared" si="8"/>
        <v>0</v>
      </c>
      <c r="G42" s="54">
        <f t="shared" si="9"/>
        <v>1</v>
      </c>
      <c r="H42" s="81">
        <f t="shared" si="10"/>
        <v>1</v>
      </c>
      <c r="I42" s="104">
        <f t="shared" si="13"/>
        <v>0</v>
      </c>
      <c r="J42" s="78" t="str">
        <f t="shared" si="14"/>
        <v>совпадает</v>
      </c>
    </row>
    <row r="43" spans="2:10" ht="18.600000000000001" thickBot="1" x14ac:dyDescent="0.4">
      <c r="B43" s="54">
        <v>13</v>
      </c>
      <c r="C43" s="54">
        <f t="shared" si="11"/>
        <v>0</v>
      </c>
      <c r="D43" s="79">
        <f t="shared" si="12"/>
        <v>0</v>
      </c>
      <c r="E43" s="82">
        <f t="shared" si="7"/>
        <v>1</v>
      </c>
      <c r="F43" s="83">
        <f t="shared" si="8"/>
        <v>0</v>
      </c>
      <c r="G43" s="83">
        <f t="shared" si="9"/>
        <v>1</v>
      </c>
      <c r="H43" s="84">
        <f t="shared" si="10"/>
        <v>1</v>
      </c>
      <c r="I43" s="104">
        <f t="shared" si="13"/>
        <v>0</v>
      </c>
      <c r="J43" s="78" t="str">
        <f t="shared" si="14"/>
        <v>совпадает</v>
      </c>
    </row>
    <row r="45" spans="2:10" x14ac:dyDescent="0.35">
      <c r="B45" s="74" t="s">
        <v>93</v>
      </c>
    </row>
    <row r="46" spans="2:10" x14ac:dyDescent="0.35">
      <c r="C46" s="74" t="s">
        <v>85</v>
      </c>
      <c r="D46" s="78">
        <f>MOD(D31+D33+D35+D37+D39+D41+D43+$C$5,2)</f>
        <v>1</v>
      </c>
    </row>
    <row r="47" spans="2:10" x14ac:dyDescent="0.35">
      <c r="C47" s="74" t="s">
        <v>86</v>
      </c>
      <c r="D47" s="78">
        <f>MOD(D32+D33+D36+D37+D40+D41+$C$5,2)</f>
        <v>1</v>
      </c>
    </row>
    <row r="48" spans="2:10" x14ac:dyDescent="0.35">
      <c r="C48" s="74" t="s">
        <v>87</v>
      </c>
      <c r="D48" s="78">
        <f>MOD(D34+D35+D36+D37+D42+D43+$C$5,2)</f>
        <v>1</v>
      </c>
    </row>
    <row r="49" spans="2:4" x14ac:dyDescent="0.35">
      <c r="C49" s="74" t="s">
        <v>88</v>
      </c>
      <c r="D49" s="78">
        <f>MOD(D38+D39+D40+D41+D42+D43+$C$5,2)</f>
        <v>0</v>
      </c>
    </row>
    <row r="50" spans="2:4" x14ac:dyDescent="0.35">
      <c r="C50" s="58" t="s">
        <v>95</v>
      </c>
      <c r="D50" s="77" t="str">
        <f>D49&amp;D48&amp;D47&amp;D46</f>
        <v>0111</v>
      </c>
    </row>
    <row r="51" spans="2:4" x14ac:dyDescent="0.35">
      <c r="B51" s="74" t="s">
        <v>94</v>
      </c>
      <c r="D51" s="85">
        <f>D46+2*D47+4*D48+8*D49</f>
        <v>7</v>
      </c>
    </row>
    <row r="53" spans="2:4" x14ac:dyDescent="0.35">
      <c r="B53" s="58" t="s">
        <v>96</v>
      </c>
      <c r="C53" s="108" t="str">
        <f>I31&amp;I32&amp;I33&amp;I34&amp;I35&amp;I36&amp;I37&amp;I38&amp;I39&amp;I40&amp;I41&amp;I42&amp;I43</f>
        <v>0001001100100</v>
      </c>
      <c r="D53" s="109"/>
    </row>
    <row r="54" spans="2:4" x14ac:dyDescent="0.35">
      <c r="B54" s="58" t="s">
        <v>97</v>
      </c>
      <c r="C54" s="63" t="str">
        <f>IF(C53=$C$24,"ДА","НЕТ")</f>
        <v>ДА</v>
      </c>
    </row>
    <row r="55" spans="2:4" x14ac:dyDescent="0.35">
      <c r="B55" s="58" t="s">
        <v>98</v>
      </c>
      <c r="C55" s="110" t="str">
        <f>I33&amp;I35&amp;I36&amp;I37&amp;I39&amp;I40&amp;I41&amp;I42&amp;I43</f>
        <v>000100100</v>
      </c>
      <c r="D55" s="111"/>
    </row>
    <row r="56" spans="2:4" x14ac:dyDescent="0.35">
      <c r="B56" s="58" t="s">
        <v>99</v>
      </c>
      <c r="C56" s="74" t="str">
        <f>IF(C55=$B$3,"ДА, ошибка исправлена","НЕТ")</f>
        <v>ДА, ошибка исправлена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54C92-42D7-435B-A7B3-C963C6E39A66}">
  <dimension ref="A1:AP72"/>
  <sheetViews>
    <sheetView workbookViewId="0">
      <selection activeCell="Z10" sqref="Z10"/>
    </sheetView>
  </sheetViews>
  <sheetFormatPr defaultColWidth="8.90625" defaultRowHeight="18" x14ac:dyDescent="0.35"/>
  <cols>
    <col min="1" max="31" width="3" style="58" customWidth="1"/>
    <col min="32" max="32" width="11.81640625" style="58" customWidth="1"/>
    <col min="33" max="33" width="8.90625" style="58"/>
    <col min="34" max="40" width="2.90625" style="58" customWidth="1"/>
    <col min="41" max="16384" width="8.90625" style="58"/>
  </cols>
  <sheetData>
    <row r="1" spans="1:42" x14ac:dyDescent="0.35">
      <c r="A1" s="74" t="s">
        <v>111</v>
      </c>
      <c r="AF1" s="74" t="s">
        <v>109</v>
      </c>
    </row>
    <row r="2" spans="1:42" ht="36" x14ac:dyDescent="0.35">
      <c r="A2" s="58" t="s">
        <v>110</v>
      </c>
      <c r="J2" s="113">
        <v>1</v>
      </c>
      <c r="K2" s="113">
        <v>1</v>
      </c>
      <c r="L2" s="113">
        <v>0</v>
      </c>
      <c r="M2" s="113">
        <v>1</v>
      </c>
      <c r="O2" s="58" t="s">
        <v>100</v>
      </c>
      <c r="P2" s="58" t="str">
        <f>J2&amp;K2&amp;L2&amp;M2</f>
        <v>1101</v>
      </c>
      <c r="AF2" s="116" t="s">
        <v>113</v>
      </c>
      <c r="AG2" s="116" t="s">
        <v>114</v>
      </c>
      <c r="AH2" s="116"/>
      <c r="AI2" s="116"/>
      <c r="AJ2" s="116"/>
      <c r="AK2" s="116"/>
      <c r="AL2" s="116"/>
      <c r="AM2" s="116"/>
      <c r="AN2" s="116"/>
      <c r="AO2" s="116" t="s">
        <v>119</v>
      </c>
      <c r="AP2" s="116" t="s">
        <v>120</v>
      </c>
    </row>
    <row r="3" spans="1:42" x14ac:dyDescent="0.35">
      <c r="A3" s="74" t="s">
        <v>124</v>
      </c>
      <c r="R3" s="74" t="s">
        <v>123</v>
      </c>
      <c r="AF3" s="115">
        <v>1</v>
      </c>
      <c r="AG3" s="115" t="str">
        <f>DEC2BIN(AF3,4)</f>
        <v>0001</v>
      </c>
      <c r="AH3" s="117" t="str">
        <f>MID(AG3,1,1)</f>
        <v>0</v>
      </c>
      <c r="AI3" s="117" t="str">
        <f>MID(AG3,2,1)</f>
        <v>0</v>
      </c>
      <c r="AJ3" s="117" t="str">
        <f>MID(AG3,3,1)</f>
        <v>0</v>
      </c>
      <c r="AK3" s="117" t="str">
        <f>MID(AG3,4,1)</f>
        <v>1</v>
      </c>
      <c r="AL3" s="118" t="str">
        <f>MID(G14,5,1)</f>
        <v>1</v>
      </c>
      <c r="AM3" s="118" t="str">
        <f>MID(G14,6,1)</f>
        <v>0</v>
      </c>
      <c r="AN3" s="118" t="str">
        <f>MID(G14,7,1)</f>
        <v>1</v>
      </c>
      <c r="AO3" s="115" t="str">
        <f>AH3&amp;AI3&amp;AJ3&amp;AK3&amp;AL3&amp;AM3&amp;AN3</f>
        <v>0001101</v>
      </c>
      <c r="AP3" s="115" t="str">
        <f>X6</f>
        <v>0001101</v>
      </c>
    </row>
    <row r="4" spans="1:42" x14ac:dyDescent="0.35">
      <c r="A4" s="121" t="str">
        <f>DEC2BIN(1,4)&amp;"000"</f>
        <v>0001000</v>
      </c>
      <c r="B4" s="121"/>
      <c r="C4" s="121"/>
      <c r="D4" s="119" t="s">
        <v>101</v>
      </c>
      <c r="S4" s="78" t="str">
        <f>MID(DEC2BIN(1,4),1,1)</f>
        <v>0</v>
      </c>
      <c r="T4" s="78" t="str">
        <f>MID(DEC2BIN(1,4),2,1)</f>
        <v>0</v>
      </c>
      <c r="U4" s="78" t="str">
        <f>MID(DEC2BIN(1,4),3,1)</f>
        <v>0</v>
      </c>
      <c r="V4" s="78" t="str">
        <f>MID(DEC2BIN(1,4),4,1)</f>
        <v>1</v>
      </c>
      <c r="AF4" s="115">
        <v>2</v>
      </c>
      <c r="AG4" s="115" t="str">
        <f>DEC2BIN(AF4,4)</f>
        <v>0010</v>
      </c>
      <c r="AH4" s="117" t="str">
        <f>MID(AG4,1,1)</f>
        <v>0</v>
      </c>
      <c r="AI4" s="117" t="str">
        <f>MID(AG4,2,1)</f>
        <v>0</v>
      </c>
      <c r="AJ4" s="117" t="str">
        <f>MID(AG4,3,1)</f>
        <v>1</v>
      </c>
      <c r="AK4" s="117" t="str">
        <f>MID(AG4,4,1)</f>
        <v>0</v>
      </c>
      <c r="AL4" s="118" t="str">
        <f>MID(G27,5,1)</f>
        <v>1</v>
      </c>
      <c r="AM4" s="118" t="str">
        <f>MID(G27,6,1)</f>
        <v>1</v>
      </c>
      <c r="AN4" s="118" t="str">
        <f>MID(G27,7,1)</f>
        <v>1</v>
      </c>
      <c r="AO4" s="115" t="str">
        <f>AH4&amp;AI4&amp;AJ4&amp;AK4&amp;AL4&amp;AM4&amp;AN4</f>
        <v>0010111</v>
      </c>
      <c r="AP4" s="115" t="str">
        <f>X19</f>
        <v>0011010</v>
      </c>
    </row>
    <row r="5" spans="1:42" x14ac:dyDescent="0.35">
      <c r="A5" s="114" t="s">
        <v>102</v>
      </c>
      <c r="B5" s="114" t="s">
        <v>103</v>
      </c>
      <c r="C5" s="114" t="s">
        <v>104</v>
      </c>
      <c r="D5" s="114" t="s">
        <v>105</v>
      </c>
      <c r="E5" s="114" t="s">
        <v>106</v>
      </c>
      <c r="F5" s="114" t="s">
        <v>107</v>
      </c>
      <c r="S5" s="78">
        <f>MOD(S4*$J$2,2)</f>
        <v>0</v>
      </c>
      <c r="T5" s="78">
        <f>MOD(S4*$K$2+T4*$J$2,2)</f>
        <v>0</v>
      </c>
      <c r="U5" s="78">
        <f>MOD(S4*$L$2+T4*$K$2+U4*$J$2,2)</f>
        <v>0</v>
      </c>
      <c r="V5" s="78">
        <f>MOD(S4*$M$2+T4*$L$2+U4*$K$2+V4*$J$2,2)</f>
        <v>1</v>
      </c>
      <c r="W5" s="78">
        <f>MOD(T4*$M$2+U4*$L$2+V4*$K$2,2)</f>
        <v>1</v>
      </c>
      <c r="X5" s="78">
        <f>MOD(U4*$M$2+V4*$L$2,2)</f>
        <v>0</v>
      </c>
      <c r="Y5" s="78">
        <f>MOD(V4*$M$2,2)</f>
        <v>1</v>
      </c>
      <c r="AF5" s="115">
        <v>4</v>
      </c>
      <c r="AG5" s="115" t="str">
        <f>DEC2BIN(AF5,4)</f>
        <v>0100</v>
      </c>
      <c r="AH5" s="117" t="str">
        <f>MID(AG5,1,1)</f>
        <v>0</v>
      </c>
      <c r="AI5" s="117" t="str">
        <f>MID(AG5,2,1)</f>
        <v>1</v>
      </c>
      <c r="AJ5" s="117" t="str">
        <f>MID(AG5,3,1)</f>
        <v>0</v>
      </c>
      <c r="AK5" s="117" t="str">
        <f>MID(AG5,4,1)</f>
        <v>0</v>
      </c>
      <c r="AL5" s="118" t="str">
        <f>MID(G40,5,1)</f>
        <v>0</v>
      </c>
      <c r="AM5" s="118" t="str">
        <f>MID(G40,6,1)</f>
        <v>1</v>
      </c>
      <c r="AN5" s="118" t="str">
        <f>MID(G40,7,1)</f>
        <v>1</v>
      </c>
      <c r="AO5" s="115" t="str">
        <f>AH5&amp;AI5&amp;AJ5&amp;AK5&amp;AL5&amp;AM5&amp;AN5</f>
        <v>0100011</v>
      </c>
      <c r="AP5" s="115" t="str">
        <f>X32</f>
        <v>0110100</v>
      </c>
    </row>
    <row r="6" spans="1:42" x14ac:dyDescent="0.35">
      <c r="A6" s="127">
        <v>1</v>
      </c>
      <c r="B6" s="120" t="str">
        <f t="shared" ref="B6:B12" si="0">MID($A$4,A6,1)</f>
        <v>0</v>
      </c>
      <c r="C6" s="115">
        <f>0</f>
        <v>0</v>
      </c>
      <c r="D6" s="115">
        <f>0</f>
        <v>0</v>
      </c>
      <c r="E6" s="115">
        <f>0</f>
        <v>0</v>
      </c>
      <c r="F6" s="115">
        <f>MOD(B6,2)</f>
        <v>0</v>
      </c>
      <c r="R6" s="74" t="s">
        <v>112</v>
      </c>
      <c r="X6" s="65" t="str">
        <f>S5&amp;T5&amp;U5&amp;V5&amp;W5&amp;X5&amp;Y5</f>
        <v>0001101</v>
      </c>
      <c r="Y6" s="65"/>
      <c r="Z6" s="65"/>
      <c r="AF6" s="115">
        <v>8</v>
      </c>
      <c r="AG6" s="115" t="str">
        <f>DEC2BIN(AF6,4)</f>
        <v>1000</v>
      </c>
      <c r="AH6" s="117" t="str">
        <f>MID(AG6,1,1)</f>
        <v>1</v>
      </c>
      <c r="AI6" s="117" t="str">
        <f>MID(AG6,2,1)</f>
        <v>0</v>
      </c>
      <c r="AJ6" s="117" t="str">
        <f>MID(AG6,3,1)</f>
        <v>0</v>
      </c>
      <c r="AK6" s="117" t="str">
        <f>MID(AG6,4,1)</f>
        <v>0</v>
      </c>
      <c r="AL6" s="118" t="str">
        <f>MID(G53,5,1)</f>
        <v>1</v>
      </c>
      <c r="AM6" s="118" t="str">
        <f>MID(G53,6,1)</f>
        <v>1</v>
      </c>
      <c r="AN6" s="118" t="str">
        <f>MID(G53,7,1)</f>
        <v>0</v>
      </c>
      <c r="AO6" s="115" t="str">
        <f>AH6&amp;AI6&amp;AJ6&amp;AK6&amp;AL6&amp;AM6&amp;AN6</f>
        <v>1000110</v>
      </c>
      <c r="AP6" s="115" t="str">
        <f>X45</f>
        <v>1101000</v>
      </c>
    </row>
    <row r="7" spans="1:42" x14ac:dyDescent="0.35">
      <c r="A7" s="127">
        <v>2</v>
      </c>
      <c r="B7" s="120" t="str">
        <f t="shared" si="0"/>
        <v>0</v>
      </c>
      <c r="C7" s="115">
        <f t="shared" ref="C7:C12" si="1">D6</f>
        <v>0</v>
      </c>
      <c r="D7" s="115">
        <f t="shared" ref="D7:D12" si="2">MOD(E6+D6*$K$2,2)</f>
        <v>0</v>
      </c>
      <c r="E7" s="115">
        <f t="shared" ref="E7:E12" si="3">MOD(F6+D6*$L$2,2)</f>
        <v>0</v>
      </c>
      <c r="F7" s="115">
        <f t="shared" ref="F7:F12" si="4">MOD(B7+D6*$M$2,2)</f>
        <v>0</v>
      </c>
    </row>
    <row r="8" spans="1:42" x14ac:dyDescent="0.35">
      <c r="A8" s="127">
        <v>3</v>
      </c>
      <c r="B8" s="120" t="str">
        <f t="shared" si="0"/>
        <v>0</v>
      </c>
      <c r="C8" s="115">
        <f t="shared" si="1"/>
        <v>0</v>
      </c>
      <c r="D8" s="115">
        <f t="shared" si="2"/>
        <v>0</v>
      </c>
      <c r="E8" s="115">
        <f t="shared" si="3"/>
        <v>0</v>
      </c>
      <c r="F8" s="115">
        <f t="shared" si="4"/>
        <v>0</v>
      </c>
    </row>
    <row r="9" spans="1:42" x14ac:dyDescent="0.35">
      <c r="A9" s="127">
        <v>4</v>
      </c>
      <c r="B9" s="120" t="str">
        <f t="shared" si="0"/>
        <v>1</v>
      </c>
      <c r="C9" s="115">
        <f t="shared" si="1"/>
        <v>0</v>
      </c>
      <c r="D9" s="115">
        <f t="shared" si="2"/>
        <v>0</v>
      </c>
      <c r="E9" s="115">
        <f t="shared" si="3"/>
        <v>0</v>
      </c>
      <c r="F9" s="115">
        <f t="shared" si="4"/>
        <v>1</v>
      </c>
    </row>
    <row r="10" spans="1:42" x14ac:dyDescent="0.35">
      <c r="A10" s="127">
        <v>5</v>
      </c>
      <c r="B10" s="120" t="str">
        <f t="shared" si="0"/>
        <v>0</v>
      </c>
      <c r="C10" s="115">
        <f t="shared" si="1"/>
        <v>0</v>
      </c>
      <c r="D10" s="115">
        <f t="shared" si="2"/>
        <v>0</v>
      </c>
      <c r="E10" s="115">
        <f t="shared" si="3"/>
        <v>1</v>
      </c>
      <c r="F10" s="115">
        <f t="shared" si="4"/>
        <v>0</v>
      </c>
    </row>
    <row r="11" spans="1:42" x14ac:dyDescent="0.35">
      <c r="A11" s="127">
        <v>6</v>
      </c>
      <c r="B11" s="120" t="str">
        <f t="shared" si="0"/>
        <v>0</v>
      </c>
      <c r="C11" s="115">
        <f t="shared" si="1"/>
        <v>0</v>
      </c>
      <c r="D11" s="115">
        <f t="shared" si="2"/>
        <v>1</v>
      </c>
      <c r="E11" s="115">
        <f t="shared" si="3"/>
        <v>0</v>
      </c>
      <c r="F11" s="115">
        <f t="shared" si="4"/>
        <v>0</v>
      </c>
    </row>
    <row r="12" spans="1:42" x14ac:dyDescent="0.35">
      <c r="A12" s="127">
        <v>7</v>
      </c>
      <c r="B12" s="120" t="str">
        <f t="shared" si="0"/>
        <v>0</v>
      </c>
      <c r="C12" s="115">
        <f t="shared" si="1"/>
        <v>1</v>
      </c>
      <c r="D12" s="115">
        <f t="shared" si="2"/>
        <v>1</v>
      </c>
      <c r="E12" s="115">
        <f t="shared" si="3"/>
        <v>0</v>
      </c>
      <c r="F12" s="115">
        <f t="shared" si="4"/>
        <v>1</v>
      </c>
    </row>
    <row r="13" spans="1:42" x14ac:dyDescent="0.35">
      <c r="A13" s="74" t="s">
        <v>108</v>
      </c>
      <c r="F13" s="58" t="str">
        <f>D12&amp;E12&amp;F12</f>
        <v>101</v>
      </c>
    </row>
    <row r="14" spans="1:42" x14ac:dyDescent="0.35">
      <c r="A14" s="74" t="s">
        <v>112</v>
      </c>
      <c r="G14" s="65" t="str">
        <f>DEC2BIN(1,4)&amp;F13</f>
        <v>0001101</v>
      </c>
      <c r="H14" s="65"/>
      <c r="I14" s="65"/>
    </row>
    <row r="16" spans="1:42" x14ac:dyDescent="0.35">
      <c r="A16" s="74" t="s">
        <v>121</v>
      </c>
      <c r="R16" s="74" t="s">
        <v>122</v>
      </c>
    </row>
    <row r="17" spans="1:26" x14ac:dyDescent="0.35">
      <c r="A17" s="121" t="str">
        <f>DEC2BIN(2,4)&amp;"000"</f>
        <v>0010000</v>
      </c>
      <c r="B17" s="121"/>
      <c r="C17" s="121"/>
      <c r="D17" s="119" t="s">
        <v>101</v>
      </c>
      <c r="S17" s="78" t="str">
        <f>MID(DEC2BIN(2,4),1,1)</f>
        <v>0</v>
      </c>
      <c r="T17" s="78" t="str">
        <f>MID(DEC2BIN(2,4),2,1)</f>
        <v>0</v>
      </c>
      <c r="U17" s="78" t="str">
        <f>MID(DEC2BIN(2,4),3,1)</f>
        <v>1</v>
      </c>
      <c r="V17" s="78" t="str">
        <f>MID(DEC2BIN(2,4),4,1)</f>
        <v>0</v>
      </c>
    </row>
    <row r="18" spans="1:26" x14ac:dyDescent="0.35">
      <c r="A18" s="114" t="s">
        <v>102</v>
      </c>
      <c r="B18" s="114" t="s">
        <v>103</v>
      </c>
      <c r="C18" s="114" t="s">
        <v>104</v>
      </c>
      <c r="D18" s="114" t="s">
        <v>105</v>
      </c>
      <c r="E18" s="114" t="s">
        <v>106</v>
      </c>
      <c r="F18" s="114" t="s">
        <v>107</v>
      </c>
      <c r="S18" s="78">
        <f>MOD(S17*$J$2,2)</f>
        <v>0</v>
      </c>
      <c r="T18" s="78">
        <f>MOD(S17*$K$2+T17*$J$2,2)</f>
        <v>0</v>
      </c>
      <c r="U18" s="78">
        <f>MOD(S17*$L$2+T17*$K$2+U17*$J$2,2)</f>
        <v>1</v>
      </c>
      <c r="V18" s="78">
        <f>MOD(S17*$M$2+T17*$L$2+U17*$K$2+V17*$J$2,2)</f>
        <v>1</v>
      </c>
      <c r="W18" s="78">
        <f>MOD(T17*$M$2+U17*$L$2+V17*$K$2,2)</f>
        <v>0</v>
      </c>
      <c r="X18" s="78">
        <f>MOD(U17*$M$2+V17*$L$2,2)</f>
        <v>1</v>
      </c>
      <c r="Y18" s="78">
        <f>MOD(V17*$M$2,2)</f>
        <v>0</v>
      </c>
    </row>
    <row r="19" spans="1:26" x14ac:dyDescent="0.35">
      <c r="A19" s="127">
        <v>1</v>
      </c>
      <c r="B19" s="120" t="str">
        <f t="shared" ref="B19:B25" si="5">MID($A$17,A19,1)</f>
        <v>0</v>
      </c>
      <c r="C19" s="115">
        <f>0</f>
        <v>0</v>
      </c>
      <c r="D19" s="115">
        <f>0</f>
        <v>0</v>
      </c>
      <c r="E19" s="115">
        <f>0</f>
        <v>0</v>
      </c>
      <c r="F19" s="115">
        <f>MOD(B19,2)</f>
        <v>0</v>
      </c>
      <c r="R19" s="74" t="s">
        <v>112</v>
      </c>
      <c r="X19" s="65" t="str">
        <f>S18&amp;T18&amp;U18&amp;V18&amp;W18&amp;X18&amp;Y18</f>
        <v>0011010</v>
      </c>
      <c r="Y19" s="65"/>
      <c r="Z19" s="65"/>
    </row>
    <row r="20" spans="1:26" x14ac:dyDescent="0.35">
      <c r="A20" s="127">
        <v>2</v>
      </c>
      <c r="B20" s="120" t="str">
        <f t="shared" si="5"/>
        <v>0</v>
      </c>
      <c r="C20" s="115">
        <f t="shared" ref="C20:C25" si="6">D19</f>
        <v>0</v>
      </c>
      <c r="D20" s="115">
        <f t="shared" ref="D20:D25" si="7">MOD(E19+D19*$K$2,2)</f>
        <v>0</v>
      </c>
      <c r="E20" s="115">
        <f t="shared" ref="E20:E25" si="8">MOD(F19+D19*$L$2,2)</f>
        <v>0</v>
      </c>
      <c r="F20" s="115">
        <f t="shared" ref="F20:F25" si="9">MOD(B20+D19*$M$2,2)</f>
        <v>0</v>
      </c>
    </row>
    <row r="21" spans="1:26" x14ac:dyDescent="0.35">
      <c r="A21" s="127">
        <v>3</v>
      </c>
      <c r="B21" s="120" t="str">
        <f t="shared" si="5"/>
        <v>1</v>
      </c>
      <c r="C21" s="115">
        <f t="shared" si="6"/>
        <v>0</v>
      </c>
      <c r="D21" s="115">
        <f t="shared" si="7"/>
        <v>0</v>
      </c>
      <c r="E21" s="115">
        <f t="shared" si="8"/>
        <v>0</v>
      </c>
      <c r="F21" s="115">
        <f t="shared" si="9"/>
        <v>1</v>
      </c>
    </row>
    <row r="22" spans="1:26" x14ac:dyDescent="0.35">
      <c r="A22" s="127">
        <v>4</v>
      </c>
      <c r="B22" s="120" t="str">
        <f t="shared" si="5"/>
        <v>0</v>
      </c>
      <c r="C22" s="115">
        <f t="shared" si="6"/>
        <v>0</v>
      </c>
      <c r="D22" s="115">
        <f t="shared" si="7"/>
        <v>0</v>
      </c>
      <c r="E22" s="115">
        <f t="shared" si="8"/>
        <v>1</v>
      </c>
      <c r="F22" s="115">
        <f t="shared" si="9"/>
        <v>0</v>
      </c>
    </row>
    <row r="23" spans="1:26" x14ac:dyDescent="0.35">
      <c r="A23" s="127">
        <v>5</v>
      </c>
      <c r="B23" s="120" t="str">
        <f t="shared" si="5"/>
        <v>0</v>
      </c>
      <c r="C23" s="115">
        <f t="shared" si="6"/>
        <v>0</v>
      </c>
      <c r="D23" s="115">
        <f t="shared" si="7"/>
        <v>1</v>
      </c>
      <c r="E23" s="115">
        <f t="shared" si="8"/>
        <v>0</v>
      </c>
      <c r="F23" s="115">
        <f t="shared" si="9"/>
        <v>0</v>
      </c>
    </row>
    <row r="24" spans="1:26" x14ac:dyDescent="0.35">
      <c r="A24" s="127">
        <v>6</v>
      </c>
      <c r="B24" s="120" t="str">
        <f t="shared" si="5"/>
        <v>0</v>
      </c>
      <c r="C24" s="115">
        <f t="shared" si="6"/>
        <v>1</v>
      </c>
      <c r="D24" s="115">
        <f t="shared" si="7"/>
        <v>1</v>
      </c>
      <c r="E24" s="115">
        <f t="shared" si="8"/>
        <v>0</v>
      </c>
      <c r="F24" s="115">
        <f t="shared" si="9"/>
        <v>1</v>
      </c>
    </row>
    <row r="25" spans="1:26" x14ac:dyDescent="0.35">
      <c r="A25" s="127">
        <v>7</v>
      </c>
      <c r="B25" s="120" t="str">
        <f t="shared" si="5"/>
        <v>0</v>
      </c>
      <c r="C25" s="115">
        <f t="shared" si="6"/>
        <v>1</v>
      </c>
      <c r="D25" s="115">
        <f t="shared" si="7"/>
        <v>1</v>
      </c>
      <c r="E25" s="115">
        <f t="shared" si="8"/>
        <v>1</v>
      </c>
      <c r="F25" s="115">
        <f t="shared" si="9"/>
        <v>1</v>
      </c>
    </row>
    <row r="26" spans="1:26" x14ac:dyDescent="0.35">
      <c r="A26" s="74" t="s">
        <v>108</v>
      </c>
      <c r="F26" s="58" t="str">
        <f>D25&amp;E25&amp;F25</f>
        <v>111</v>
      </c>
    </row>
    <row r="27" spans="1:26" x14ac:dyDescent="0.35">
      <c r="A27" s="74" t="s">
        <v>112</v>
      </c>
      <c r="G27" s="65" t="str">
        <f>DEC2BIN(2,4)&amp;F26</f>
        <v>0010111</v>
      </c>
      <c r="H27" s="65"/>
      <c r="I27" s="65"/>
    </row>
    <row r="29" spans="1:26" x14ac:dyDescent="0.35">
      <c r="A29" s="74" t="s">
        <v>125</v>
      </c>
      <c r="R29" s="74" t="s">
        <v>126</v>
      </c>
    </row>
    <row r="30" spans="1:26" x14ac:dyDescent="0.35">
      <c r="A30" s="121" t="str">
        <f>DEC2BIN(4,4)&amp;"000"</f>
        <v>0100000</v>
      </c>
      <c r="B30" s="121"/>
      <c r="C30" s="121"/>
      <c r="D30" s="119" t="s">
        <v>101</v>
      </c>
      <c r="S30" s="78" t="str">
        <f>MID(DEC2BIN(4,4),1,1)</f>
        <v>0</v>
      </c>
      <c r="T30" s="78" t="str">
        <f>MID(DEC2BIN(4,4),2,1)</f>
        <v>1</v>
      </c>
      <c r="U30" s="78" t="str">
        <f>MID(DEC2BIN(4,4),3,1)</f>
        <v>0</v>
      </c>
      <c r="V30" s="78" t="str">
        <f>MID(DEC2BIN(4,4),4,1)</f>
        <v>0</v>
      </c>
    </row>
    <row r="31" spans="1:26" x14ac:dyDescent="0.35">
      <c r="A31" s="114" t="s">
        <v>102</v>
      </c>
      <c r="B31" s="114" t="s">
        <v>103</v>
      </c>
      <c r="C31" s="114" t="s">
        <v>104</v>
      </c>
      <c r="D31" s="114" t="s">
        <v>105</v>
      </c>
      <c r="E31" s="114" t="s">
        <v>106</v>
      </c>
      <c r="F31" s="114" t="s">
        <v>107</v>
      </c>
      <c r="S31" s="78">
        <f>MOD(S30*$J$2,2)</f>
        <v>0</v>
      </c>
      <c r="T31" s="78">
        <f>MOD(S30*$K$2+T30*$J$2,2)</f>
        <v>1</v>
      </c>
      <c r="U31" s="78">
        <f>MOD(S30*$L$2+T30*$K$2+U30*$J$2,2)</f>
        <v>1</v>
      </c>
      <c r="V31" s="78">
        <f>MOD(S30*$M$2+T30*$L$2+U30*$K$2+V30*$J$2,2)</f>
        <v>0</v>
      </c>
      <c r="W31" s="78">
        <f>MOD(T30*$M$2+U30*$L$2+V30*$K$2,2)</f>
        <v>1</v>
      </c>
      <c r="X31" s="78">
        <f>MOD(U30*$M$2+V30*$L$2,2)</f>
        <v>0</v>
      </c>
      <c r="Y31" s="78">
        <f>MOD(V30*$M$2,2)</f>
        <v>0</v>
      </c>
    </row>
    <row r="32" spans="1:26" x14ac:dyDescent="0.35">
      <c r="A32" s="127">
        <v>1</v>
      </c>
      <c r="B32" s="120" t="str">
        <f t="shared" ref="B32:B38" si="10">MID($A$30,A32,1)</f>
        <v>0</v>
      </c>
      <c r="C32" s="115">
        <f>0</f>
        <v>0</v>
      </c>
      <c r="D32" s="115">
        <f>0</f>
        <v>0</v>
      </c>
      <c r="E32" s="115">
        <f>0</f>
        <v>0</v>
      </c>
      <c r="F32" s="115">
        <f>MOD(B32,2)</f>
        <v>0</v>
      </c>
      <c r="R32" s="74" t="s">
        <v>112</v>
      </c>
      <c r="X32" s="65" t="str">
        <f>S31&amp;T31&amp;U31&amp;V31&amp;W31&amp;X31&amp;Y31</f>
        <v>0110100</v>
      </c>
      <c r="Y32" s="65"/>
      <c r="Z32" s="65"/>
    </row>
    <row r="33" spans="1:26" x14ac:dyDescent="0.35">
      <c r="A33" s="127">
        <v>2</v>
      </c>
      <c r="B33" s="120" t="str">
        <f t="shared" si="10"/>
        <v>1</v>
      </c>
      <c r="C33" s="115">
        <f t="shared" ref="C33:C38" si="11">D32</f>
        <v>0</v>
      </c>
      <c r="D33" s="115">
        <f t="shared" ref="D33:D38" si="12">MOD(E32+D32*$K$2,2)</f>
        <v>0</v>
      </c>
      <c r="E33" s="115">
        <f t="shared" ref="E33:E38" si="13">MOD(F32+D32*$L$2,2)</f>
        <v>0</v>
      </c>
      <c r="F33" s="115">
        <f t="shared" ref="F33:F38" si="14">MOD(B33+D32*$M$2,2)</f>
        <v>1</v>
      </c>
    </row>
    <row r="34" spans="1:26" x14ac:dyDescent="0.35">
      <c r="A34" s="127">
        <v>3</v>
      </c>
      <c r="B34" s="120" t="str">
        <f t="shared" si="10"/>
        <v>0</v>
      </c>
      <c r="C34" s="115">
        <f t="shared" si="11"/>
        <v>0</v>
      </c>
      <c r="D34" s="115">
        <f t="shared" si="12"/>
        <v>0</v>
      </c>
      <c r="E34" s="115">
        <f t="shared" si="13"/>
        <v>1</v>
      </c>
      <c r="F34" s="115">
        <f t="shared" si="14"/>
        <v>0</v>
      </c>
    </row>
    <row r="35" spans="1:26" x14ac:dyDescent="0.35">
      <c r="A35" s="127">
        <v>4</v>
      </c>
      <c r="B35" s="120" t="str">
        <f t="shared" si="10"/>
        <v>0</v>
      </c>
      <c r="C35" s="115">
        <f t="shared" si="11"/>
        <v>0</v>
      </c>
      <c r="D35" s="115">
        <f t="shared" si="12"/>
        <v>1</v>
      </c>
      <c r="E35" s="115">
        <f t="shared" si="13"/>
        <v>0</v>
      </c>
      <c r="F35" s="115">
        <f t="shared" si="14"/>
        <v>0</v>
      </c>
    </row>
    <row r="36" spans="1:26" x14ac:dyDescent="0.35">
      <c r="A36" s="127">
        <v>5</v>
      </c>
      <c r="B36" s="120" t="str">
        <f t="shared" si="10"/>
        <v>0</v>
      </c>
      <c r="C36" s="115">
        <f t="shared" si="11"/>
        <v>1</v>
      </c>
      <c r="D36" s="115">
        <f t="shared" si="12"/>
        <v>1</v>
      </c>
      <c r="E36" s="115">
        <f t="shared" si="13"/>
        <v>0</v>
      </c>
      <c r="F36" s="115">
        <f t="shared" si="14"/>
        <v>1</v>
      </c>
    </row>
    <row r="37" spans="1:26" x14ac:dyDescent="0.35">
      <c r="A37" s="127">
        <v>6</v>
      </c>
      <c r="B37" s="120" t="str">
        <f t="shared" si="10"/>
        <v>0</v>
      </c>
      <c r="C37" s="115">
        <f t="shared" si="11"/>
        <v>1</v>
      </c>
      <c r="D37" s="115">
        <f t="shared" si="12"/>
        <v>1</v>
      </c>
      <c r="E37" s="115">
        <f t="shared" si="13"/>
        <v>1</v>
      </c>
      <c r="F37" s="115">
        <f t="shared" si="14"/>
        <v>1</v>
      </c>
    </row>
    <row r="38" spans="1:26" x14ac:dyDescent="0.35">
      <c r="A38" s="127">
        <v>7</v>
      </c>
      <c r="B38" s="120" t="str">
        <f t="shared" si="10"/>
        <v>0</v>
      </c>
      <c r="C38" s="115">
        <f t="shared" si="11"/>
        <v>1</v>
      </c>
      <c r="D38" s="115">
        <f t="shared" si="12"/>
        <v>0</v>
      </c>
      <c r="E38" s="115">
        <f t="shared" si="13"/>
        <v>1</v>
      </c>
      <c r="F38" s="115">
        <f t="shared" si="14"/>
        <v>1</v>
      </c>
    </row>
    <row r="39" spans="1:26" x14ac:dyDescent="0.35">
      <c r="A39" s="74" t="s">
        <v>108</v>
      </c>
      <c r="F39" s="58" t="str">
        <f>D38&amp;E38&amp;F38</f>
        <v>011</v>
      </c>
    </row>
    <row r="40" spans="1:26" x14ac:dyDescent="0.35">
      <c r="A40" s="74" t="s">
        <v>112</v>
      </c>
      <c r="G40" s="65" t="str">
        <f>DEC2BIN(4,4)&amp;F39</f>
        <v>0100011</v>
      </c>
      <c r="H40" s="65"/>
      <c r="I40" s="65"/>
    </row>
    <row r="42" spans="1:26" x14ac:dyDescent="0.35">
      <c r="A42" s="74" t="s">
        <v>128</v>
      </c>
      <c r="R42" s="74" t="s">
        <v>127</v>
      </c>
    </row>
    <row r="43" spans="1:26" x14ac:dyDescent="0.35">
      <c r="A43" s="121" t="str">
        <f>DEC2BIN(8,4)&amp;"000"</f>
        <v>1000000</v>
      </c>
      <c r="B43" s="121"/>
      <c r="C43" s="121"/>
      <c r="D43" s="119" t="s">
        <v>101</v>
      </c>
      <c r="S43" s="78" t="str">
        <f>MID(DEC2BIN(8,4),1,1)</f>
        <v>1</v>
      </c>
      <c r="T43" s="78" t="str">
        <f>MID(DEC2BIN(8,4),2,1)</f>
        <v>0</v>
      </c>
      <c r="U43" s="78" t="str">
        <f>MID(DEC2BIN(8,4),3,1)</f>
        <v>0</v>
      </c>
      <c r="V43" s="78" t="str">
        <f>MID(DEC2BIN(8,4),4,1)</f>
        <v>0</v>
      </c>
    </row>
    <row r="44" spans="1:26" x14ac:dyDescent="0.35">
      <c r="A44" s="114" t="s">
        <v>102</v>
      </c>
      <c r="B44" s="114" t="s">
        <v>103</v>
      </c>
      <c r="C44" s="114" t="s">
        <v>104</v>
      </c>
      <c r="D44" s="114" t="s">
        <v>105</v>
      </c>
      <c r="E44" s="114" t="s">
        <v>106</v>
      </c>
      <c r="F44" s="114" t="s">
        <v>107</v>
      </c>
      <c r="S44" s="78">
        <f>MOD(S43*$J$2,2)</f>
        <v>1</v>
      </c>
      <c r="T44" s="78">
        <f>MOD(S43*$K$2+T43*$J$2,2)</f>
        <v>1</v>
      </c>
      <c r="U44" s="78">
        <f>MOD(S43*$L$2+T43*$K$2+U43*$J$2,2)</f>
        <v>0</v>
      </c>
      <c r="V44" s="78">
        <f>MOD(S43*$M$2+T43*$L$2+U43*$K$2+V43*$J$2,2)</f>
        <v>1</v>
      </c>
      <c r="W44" s="78">
        <f>MOD(T43*$M$2+U43*$L$2+V43*$K$2,2)</f>
        <v>0</v>
      </c>
      <c r="X44" s="78">
        <f>MOD(U43*$M$2+V43*$L$2,2)</f>
        <v>0</v>
      </c>
      <c r="Y44" s="78">
        <f>MOD(V43*$M$2,2)</f>
        <v>0</v>
      </c>
    </row>
    <row r="45" spans="1:26" x14ac:dyDescent="0.35">
      <c r="A45" s="127">
        <v>1</v>
      </c>
      <c r="B45" s="120" t="str">
        <f t="shared" ref="B45:B51" si="15">MID($A$43,A45,1)</f>
        <v>1</v>
      </c>
      <c r="C45" s="115">
        <f>0</f>
        <v>0</v>
      </c>
      <c r="D45" s="115">
        <f>0</f>
        <v>0</v>
      </c>
      <c r="E45" s="115">
        <f>0</f>
        <v>0</v>
      </c>
      <c r="F45" s="115">
        <f>MOD(B45,2)</f>
        <v>1</v>
      </c>
      <c r="R45" s="74" t="s">
        <v>112</v>
      </c>
      <c r="X45" s="65" t="str">
        <f>S44&amp;T44&amp;U44&amp;V44&amp;W44&amp;X44&amp;Y44</f>
        <v>1101000</v>
      </c>
      <c r="Y45" s="65"/>
      <c r="Z45" s="65"/>
    </row>
    <row r="46" spans="1:26" x14ac:dyDescent="0.35">
      <c r="A46" s="127">
        <v>2</v>
      </c>
      <c r="B46" s="120" t="str">
        <f t="shared" si="15"/>
        <v>0</v>
      </c>
      <c r="C46" s="115">
        <f t="shared" ref="C46:C51" si="16">D45</f>
        <v>0</v>
      </c>
      <c r="D46" s="115">
        <f t="shared" ref="D46:D51" si="17">MOD(E45+D45*$K$2,2)</f>
        <v>0</v>
      </c>
      <c r="E46" s="115">
        <f t="shared" ref="E46:E51" si="18">MOD(F45+D45*$L$2,2)</f>
        <v>1</v>
      </c>
      <c r="F46" s="115">
        <f t="shared" ref="F46:F51" si="19">MOD(B46+D45*$M$2,2)</f>
        <v>0</v>
      </c>
    </row>
    <row r="47" spans="1:26" x14ac:dyDescent="0.35">
      <c r="A47" s="127">
        <v>3</v>
      </c>
      <c r="B47" s="120" t="str">
        <f t="shared" si="15"/>
        <v>0</v>
      </c>
      <c r="C47" s="115">
        <f t="shared" si="16"/>
        <v>0</v>
      </c>
      <c r="D47" s="115">
        <f t="shared" si="17"/>
        <v>1</v>
      </c>
      <c r="E47" s="115">
        <f t="shared" si="18"/>
        <v>0</v>
      </c>
      <c r="F47" s="115">
        <f t="shared" si="19"/>
        <v>0</v>
      </c>
    </row>
    <row r="48" spans="1:26" x14ac:dyDescent="0.35">
      <c r="A48" s="127">
        <v>4</v>
      </c>
      <c r="B48" s="120" t="str">
        <f t="shared" si="15"/>
        <v>0</v>
      </c>
      <c r="C48" s="115">
        <f t="shared" si="16"/>
        <v>1</v>
      </c>
      <c r="D48" s="115">
        <f t="shared" si="17"/>
        <v>1</v>
      </c>
      <c r="E48" s="115">
        <f t="shared" si="18"/>
        <v>0</v>
      </c>
      <c r="F48" s="115">
        <f t="shared" si="19"/>
        <v>1</v>
      </c>
    </row>
    <row r="49" spans="1:40" x14ac:dyDescent="0.35">
      <c r="A49" s="127">
        <v>5</v>
      </c>
      <c r="B49" s="120" t="str">
        <f t="shared" si="15"/>
        <v>0</v>
      </c>
      <c r="C49" s="115">
        <f t="shared" si="16"/>
        <v>1</v>
      </c>
      <c r="D49" s="115">
        <f t="shared" si="17"/>
        <v>1</v>
      </c>
      <c r="E49" s="115">
        <f t="shared" si="18"/>
        <v>1</v>
      </c>
      <c r="F49" s="115">
        <f t="shared" si="19"/>
        <v>1</v>
      </c>
    </row>
    <row r="50" spans="1:40" x14ac:dyDescent="0.35">
      <c r="A50" s="127">
        <v>6</v>
      </c>
      <c r="B50" s="120" t="str">
        <f t="shared" si="15"/>
        <v>0</v>
      </c>
      <c r="C50" s="115">
        <f t="shared" si="16"/>
        <v>1</v>
      </c>
      <c r="D50" s="115">
        <f t="shared" si="17"/>
        <v>0</v>
      </c>
      <c r="E50" s="115">
        <f t="shared" si="18"/>
        <v>1</v>
      </c>
      <c r="F50" s="115">
        <f t="shared" si="19"/>
        <v>1</v>
      </c>
    </row>
    <row r="51" spans="1:40" x14ac:dyDescent="0.35">
      <c r="A51" s="127">
        <v>7</v>
      </c>
      <c r="B51" s="120" t="str">
        <f t="shared" si="15"/>
        <v>0</v>
      </c>
      <c r="C51" s="115">
        <f t="shared" si="16"/>
        <v>0</v>
      </c>
      <c r="D51" s="115">
        <f t="shared" si="17"/>
        <v>1</v>
      </c>
      <c r="E51" s="115">
        <f t="shared" si="18"/>
        <v>1</v>
      </c>
      <c r="F51" s="115">
        <f t="shared" si="19"/>
        <v>0</v>
      </c>
    </row>
    <row r="52" spans="1:40" x14ac:dyDescent="0.35">
      <c r="A52" s="74" t="s">
        <v>108</v>
      </c>
      <c r="F52" s="58" t="str">
        <f>D51&amp;E51&amp;F51</f>
        <v>110</v>
      </c>
    </row>
    <row r="53" spans="1:40" x14ac:dyDescent="0.35">
      <c r="A53" s="74" t="s">
        <v>112</v>
      </c>
      <c r="G53" s="65" t="str">
        <f>DEC2BIN(8,4)&amp;F52</f>
        <v>1000110</v>
      </c>
      <c r="H53" s="65"/>
      <c r="I53" s="65"/>
    </row>
    <row r="55" spans="1:40" ht="18.600000000000001" thickBot="1" x14ac:dyDescent="0.4">
      <c r="A55" s="74" t="s">
        <v>130</v>
      </c>
      <c r="AG55" s="74" t="s">
        <v>129</v>
      </c>
    </row>
    <row r="56" spans="1:40" x14ac:dyDescent="0.35">
      <c r="A56" s="143" t="s">
        <v>118</v>
      </c>
      <c r="B56" s="144"/>
      <c r="C56" s="144"/>
      <c r="D56" s="144"/>
      <c r="E56" s="145"/>
      <c r="G56" s="140" t="s">
        <v>117</v>
      </c>
      <c r="H56" s="141"/>
      <c r="I56" s="141"/>
      <c r="J56" s="141"/>
      <c r="K56" s="141"/>
      <c r="L56" s="141"/>
      <c r="M56" s="142"/>
      <c r="O56" s="140" t="s">
        <v>116</v>
      </c>
      <c r="P56" s="141"/>
      <c r="Q56" s="141"/>
      <c r="R56" s="141"/>
      <c r="S56" s="141"/>
      <c r="T56" s="141"/>
      <c r="U56" s="142"/>
      <c r="W56" s="139" t="s">
        <v>115</v>
      </c>
      <c r="X56" s="139"/>
      <c r="Y56" s="139"/>
      <c r="AG56" s="78">
        <v>8</v>
      </c>
      <c r="AH56" s="127">
        <f t="shared" ref="AH56:AN56" si="20">VALUE(AH6)</f>
        <v>1</v>
      </c>
      <c r="AI56" s="127">
        <f t="shared" si="20"/>
        <v>0</v>
      </c>
      <c r="AJ56" s="127">
        <f t="shared" si="20"/>
        <v>0</v>
      </c>
      <c r="AK56" s="127">
        <f t="shared" si="20"/>
        <v>0</v>
      </c>
      <c r="AL56" s="120">
        <f t="shared" si="20"/>
        <v>1</v>
      </c>
      <c r="AM56" s="120">
        <f t="shared" si="20"/>
        <v>1</v>
      </c>
      <c r="AN56" s="120">
        <f t="shared" si="20"/>
        <v>0</v>
      </c>
    </row>
    <row r="57" spans="1:40" x14ac:dyDescent="0.35">
      <c r="A57" s="128">
        <v>0</v>
      </c>
      <c r="B57" s="70">
        <f t="shared" ref="B57:B72" si="21">VALUE(MID(DEC2BIN(A57,4),1,1))</f>
        <v>0</v>
      </c>
      <c r="C57" s="70">
        <f t="shared" ref="C57:C72" si="22">VALUE(MID(DEC2BIN(A57,4),2,1))</f>
        <v>0</v>
      </c>
      <c r="D57" s="70">
        <f t="shared" ref="D57:D72" si="23">VALUE(MID(DEC2BIN(A57,4),3,1))</f>
        <v>0</v>
      </c>
      <c r="E57" s="97">
        <f t="shared" ref="E57:E72" si="24">VALUE(MID(DEC2BIN(A57,4),4,1))</f>
        <v>0</v>
      </c>
      <c r="G57" s="96">
        <f t="array" ref="G57:M72">MMULT(B57:E72,AH56:AN59)</f>
        <v>0</v>
      </c>
      <c r="H57" s="70">
        <v>0</v>
      </c>
      <c r="I57" s="70">
        <v>0</v>
      </c>
      <c r="J57" s="70">
        <v>0</v>
      </c>
      <c r="K57" s="70">
        <v>0</v>
      </c>
      <c r="L57" s="70">
        <v>0</v>
      </c>
      <c r="M57" s="97">
        <v>0</v>
      </c>
      <c r="N57" s="78"/>
      <c r="O57" s="96">
        <f t="shared" ref="O57:U72" si="25">MOD(G57,2)</f>
        <v>0</v>
      </c>
      <c r="P57" s="70">
        <f t="shared" si="25"/>
        <v>0</v>
      </c>
      <c r="Q57" s="70">
        <f t="shared" si="25"/>
        <v>0</v>
      </c>
      <c r="R57" s="70">
        <f t="shared" si="25"/>
        <v>0</v>
      </c>
      <c r="S57" s="70">
        <f t="shared" si="25"/>
        <v>0</v>
      </c>
      <c r="T57" s="70">
        <f t="shared" si="25"/>
        <v>0</v>
      </c>
      <c r="U57" s="97">
        <f t="shared" si="25"/>
        <v>0</v>
      </c>
      <c r="W57" s="122" t="str">
        <f t="shared" ref="W57:W72" si="26">O57&amp;P57&amp;Q57&amp;R57&amp;S57&amp;T57&amp;U57</f>
        <v>0000000</v>
      </c>
      <c r="X57" s="65"/>
      <c r="Y57" s="65"/>
      <c r="AG57" s="78">
        <v>4</v>
      </c>
      <c r="AH57" s="127">
        <f t="shared" ref="AH57:AN57" si="27">VALUE(AH5)</f>
        <v>0</v>
      </c>
      <c r="AI57" s="127">
        <f t="shared" si="27"/>
        <v>1</v>
      </c>
      <c r="AJ57" s="127">
        <f t="shared" si="27"/>
        <v>0</v>
      </c>
      <c r="AK57" s="127">
        <f t="shared" si="27"/>
        <v>0</v>
      </c>
      <c r="AL57" s="120">
        <f t="shared" si="27"/>
        <v>0</v>
      </c>
      <c r="AM57" s="120">
        <f t="shared" si="27"/>
        <v>1</v>
      </c>
      <c r="AN57" s="120">
        <f t="shared" si="27"/>
        <v>1</v>
      </c>
    </row>
    <row r="58" spans="1:40" x14ac:dyDescent="0.35">
      <c r="A58" s="128">
        <v>1</v>
      </c>
      <c r="B58" s="125">
        <f t="shared" si="21"/>
        <v>0</v>
      </c>
      <c r="C58" s="125">
        <f t="shared" si="22"/>
        <v>0</v>
      </c>
      <c r="D58" s="125">
        <f t="shared" si="23"/>
        <v>0</v>
      </c>
      <c r="E58" s="126">
        <f t="shared" si="24"/>
        <v>1</v>
      </c>
      <c r="F58" s="121"/>
      <c r="G58" s="124">
        <v>0</v>
      </c>
      <c r="H58" s="125">
        <v>0</v>
      </c>
      <c r="I58" s="125">
        <v>0</v>
      </c>
      <c r="J58" s="125">
        <v>1</v>
      </c>
      <c r="K58" s="125">
        <v>1</v>
      </c>
      <c r="L58" s="125">
        <v>0</v>
      </c>
      <c r="M58" s="126">
        <v>1</v>
      </c>
      <c r="N58" s="123"/>
      <c r="O58" s="124">
        <f t="shared" si="25"/>
        <v>0</v>
      </c>
      <c r="P58" s="125">
        <f t="shared" si="25"/>
        <v>0</v>
      </c>
      <c r="Q58" s="125">
        <f t="shared" si="25"/>
        <v>0</v>
      </c>
      <c r="R58" s="125">
        <f t="shared" si="25"/>
        <v>1</v>
      </c>
      <c r="S58" s="125">
        <f t="shared" si="25"/>
        <v>1</v>
      </c>
      <c r="T58" s="125">
        <f t="shared" si="25"/>
        <v>0</v>
      </c>
      <c r="U58" s="126">
        <f t="shared" si="25"/>
        <v>1</v>
      </c>
      <c r="W58" s="122" t="str">
        <f t="shared" si="26"/>
        <v>0001101</v>
      </c>
      <c r="X58" s="65"/>
      <c r="Y58" s="65"/>
      <c r="AG58" s="78">
        <v>2</v>
      </c>
      <c r="AH58" s="127">
        <f t="shared" ref="AH58:AN58" si="28">VALUE(AH4)</f>
        <v>0</v>
      </c>
      <c r="AI58" s="127">
        <f t="shared" si="28"/>
        <v>0</v>
      </c>
      <c r="AJ58" s="127">
        <f t="shared" si="28"/>
        <v>1</v>
      </c>
      <c r="AK58" s="127">
        <f t="shared" si="28"/>
        <v>0</v>
      </c>
      <c r="AL58" s="120">
        <f t="shared" si="28"/>
        <v>1</v>
      </c>
      <c r="AM58" s="120">
        <f t="shared" si="28"/>
        <v>1</v>
      </c>
      <c r="AN58" s="120">
        <f t="shared" si="28"/>
        <v>1</v>
      </c>
    </row>
    <row r="59" spans="1:40" x14ac:dyDescent="0.35">
      <c r="A59" s="128">
        <v>2</v>
      </c>
      <c r="B59" s="125">
        <f t="shared" si="21"/>
        <v>0</v>
      </c>
      <c r="C59" s="125">
        <f t="shared" si="22"/>
        <v>0</v>
      </c>
      <c r="D59" s="125">
        <f t="shared" si="23"/>
        <v>1</v>
      </c>
      <c r="E59" s="126">
        <f t="shared" si="24"/>
        <v>0</v>
      </c>
      <c r="F59" s="121"/>
      <c r="G59" s="124">
        <v>0</v>
      </c>
      <c r="H59" s="125">
        <v>0</v>
      </c>
      <c r="I59" s="125">
        <v>1</v>
      </c>
      <c r="J59" s="125">
        <v>0</v>
      </c>
      <c r="K59" s="125">
        <v>1</v>
      </c>
      <c r="L59" s="125">
        <v>1</v>
      </c>
      <c r="M59" s="126">
        <v>1</v>
      </c>
      <c r="N59" s="123"/>
      <c r="O59" s="124">
        <f t="shared" si="25"/>
        <v>0</v>
      </c>
      <c r="P59" s="125">
        <f t="shared" si="25"/>
        <v>0</v>
      </c>
      <c r="Q59" s="125">
        <f t="shared" si="25"/>
        <v>1</v>
      </c>
      <c r="R59" s="125">
        <f t="shared" si="25"/>
        <v>0</v>
      </c>
      <c r="S59" s="125">
        <f t="shared" si="25"/>
        <v>1</v>
      </c>
      <c r="T59" s="125">
        <f t="shared" si="25"/>
        <v>1</v>
      </c>
      <c r="U59" s="126">
        <f t="shared" si="25"/>
        <v>1</v>
      </c>
      <c r="W59" s="122" t="str">
        <f t="shared" si="26"/>
        <v>0010111</v>
      </c>
      <c r="X59" s="65"/>
      <c r="Y59" s="65"/>
      <c r="AG59" s="78">
        <v>1</v>
      </c>
      <c r="AH59" s="127">
        <f t="shared" ref="AH59:AN59" si="29">VALUE(AH3)</f>
        <v>0</v>
      </c>
      <c r="AI59" s="127">
        <f t="shared" si="29"/>
        <v>0</v>
      </c>
      <c r="AJ59" s="127">
        <f t="shared" si="29"/>
        <v>0</v>
      </c>
      <c r="AK59" s="127">
        <f t="shared" si="29"/>
        <v>1</v>
      </c>
      <c r="AL59" s="120">
        <f t="shared" si="29"/>
        <v>1</v>
      </c>
      <c r="AM59" s="120">
        <f t="shared" si="29"/>
        <v>0</v>
      </c>
      <c r="AN59" s="120">
        <f t="shared" si="29"/>
        <v>1</v>
      </c>
    </row>
    <row r="60" spans="1:40" x14ac:dyDescent="0.35">
      <c r="A60" s="128">
        <v>3</v>
      </c>
      <c r="B60" s="70">
        <f t="shared" si="21"/>
        <v>0</v>
      </c>
      <c r="C60" s="70">
        <f t="shared" si="22"/>
        <v>0</v>
      </c>
      <c r="D60" s="70">
        <f t="shared" si="23"/>
        <v>1</v>
      </c>
      <c r="E60" s="97">
        <f t="shared" si="24"/>
        <v>1</v>
      </c>
      <c r="G60" s="96">
        <v>0</v>
      </c>
      <c r="H60" s="70">
        <v>0</v>
      </c>
      <c r="I60" s="70">
        <v>1</v>
      </c>
      <c r="J60" s="70">
        <v>1</v>
      </c>
      <c r="K60" s="70">
        <v>2</v>
      </c>
      <c r="L60" s="70">
        <v>1</v>
      </c>
      <c r="M60" s="97">
        <v>2</v>
      </c>
      <c r="N60" s="78"/>
      <c r="O60" s="96">
        <f t="shared" si="25"/>
        <v>0</v>
      </c>
      <c r="P60" s="70">
        <f t="shared" si="25"/>
        <v>0</v>
      </c>
      <c r="Q60" s="70">
        <f t="shared" si="25"/>
        <v>1</v>
      </c>
      <c r="R60" s="70">
        <f t="shared" si="25"/>
        <v>1</v>
      </c>
      <c r="S60" s="70">
        <f t="shared" si="25"/>
        <v>0</v>
      </c>
      <c r="T60" s="70">
        <f t="shared" si="25"/>
        <v>1</v>
      </c>
      <c r="U60" s="97">
        <f t="shared" si="25"/>
        <v>0</v>
      </c>
      <c r="W60" s="122" t="str">
        <f t="shared" si="26"/>
        <v>0011010</v>
      </c>
      <c r="X60" s="65"/>
      <c r="Y60" s="65"/>
    </row>
    <row r="61" spans="1:40" x14ac:dyDescent="0.35">
      <c r="A61" s="128">
        <v>4</v>
      </c>
      <c r="B61" s="125">
        <f t="shared" si="21"/>
        <v>0</v>
      </c>
      <c r="C61" s="125">
        <f t="shared" si="22"/>
        <v>1</v>
      </c>
      <c r="D61" s="125">
        <f t="shared" si="23"/>
        <v>0</v>
      </c>
      <c r="E61" s="126">
        <f t="shared" si="24"/>
        <v>0</v>
      </c>
      <c r="F61" s="121"/>
      <c r="G61" s="124">
        <v>0</v>
      </c>
      <c r="H61" s="125">
        <v>1</v>
      </c>
      <c r="I61" s="125">
        <v>0</v>
      </c>
      <c r="J61" s="125">
        <v>0</v>
      </c>
      <c r="K61" s="125">
        <v>0</v>
      </c>
      <c r="L61" s="125">
        <v>1</v>
      </c>
      <c r="M61" s="126">
        <v>1</v>
      </c>
      <c r="N61" s="123"/>
      <c r="O61" s="124">
        <f t="shared" si="25"/>
        <v>0</v>
      </c>
      <c r="P61" s="125">
        <f t="shared" si="25"/>
        <v>1</v>
      </c>
      <c r="Q61" s="125">
        <f t="shared" si="25"/>
        <v>0</v>
      </c>
      <c r="R61" s="125">
        <f t="shared" si="25"/>
        <v>0</v>
      </c>
      <c r="S61" s="125">
        <f t="shared" si="25"/>
        <v>0</v>
      </c>
      <c r="T61" s="125">
        <f t="shared" si="25"/>
        <v>1</v>
      </c>
      <c r="U61" s="126">
        <f t="shared" si="25"/>
        <v>1</v>
      </c>
      <c r="W61" s="122" t="str">
        <f t="shared" si="26"/>
        <v>0100011</v>
      </c>
      <c r="X61" s="65"/>
      <c r="Y61" s="65"/>
    </row>
    <row r="62" spans="1:40" x14ac:dyDescent="0.35">
      <c r="A62" s="128">
        <v>5</v>
      </c>
      <c r="B62" s="70">
        <f t="shared" si="21"/>
        <v>0</v>
      </c>
      <c r="C62" s="70">
        <f t="shared" si="22"/>
        <v>1</v>
      </c>
      <c r="D62" s="70">
        <f t="shared" si="23"/>
        <v>0</v>
      </c>
      <c r="E62" s="97">
        <f t="shared" si="24"/>
        <v>1</v>
      </c>
      <c r="G62" s="96">
        <v>0</v>
      </c>
      <c r="H62" s="70">
        <v>1</v>
      </c>
      <c r="I62" s="70">
        <v>0</v>
      </c>
      <c r="J62" s="70">
        <v>1</v>
      </c>
      <c r="K62" s="70">
        <v>1</v>
      </c>
      <c r="L62" s="70">
        <v>1</v>
      </c>
      <c r="M62" s="97">
        <v>2</v>
      </c>
      <c r="N62" s="78"/>
      <c r="O62" s="96">
        <f t="shared" si="25"/>
        <v>0</v>
      </c>
      <c r="P62" s="70">
        <f t="shared" si="25"/>
        <v>1</v>
      </c>
      <c r="Q62" s="70">
        <f t="shared" si="25"/>
        <v>0</v>
      </c>
      <c r="R62" s="70">
        <f t="shared" si="25"/>
        <v>1</v>
      </c>
      <c r="S62" s="70">
        <f t="shared" si="25"/>
        <v>1</v>
      </c>
      <c r="T62" s="70">
        <f t="shared" si="25"/>
        <v>1</v>
      </c>
      <c r="U62" s="97">
        <f t="shared" si="25"/>
        <v>0</v>
      </c>
      <c r="W62" s="122" t="str">
        <f t="shared" si="26"/>
        <v>0101110</v>
      </c>
      <c r="X62" s="65"/>
      <c r="Y62" s="65"/>
    </row>
    <row r="63" spans="1:40" x14ac:dyDescent="0.35">
      <c r="A63" s="128">
        <v>6</v>
      </c>
      <c r="B63" s="70">
        <f t="shared" si="21"/>
        <v>0</v>
      </c>
      <c r="C63" s="70">
        <f t="shared" si="22"/>
        <v>1</v>
      </c>
      <c r="D63" s="70">
        <f t="shared" si="23"/>
        <v>1</v>
      </c>
      <c r="E63" s="97">
        <f t="shared" si="24"/>
        <v>0</v>
      </c>
      <c r="G63" s="96">
        <v>0</v>
      </c>
      <c r="H63" s="70">
        <v>1</v>
      </c>
      <c r="I63" s="70">
        <v>1</v>
      </c>
      <c r="J63" s="70">
        <v>0</v>
      </c>
      <c r="K63" s="70">
        <v>1</v>
      </c>
      <c r="L63" s="70">
        <v>2</v>
      </c>
      <c r="M63" s="97">
        <v>2</v>
      </c>
      <c r="N63" s="78"/>
      <c r="O63" s="96">
        <f t="shared" si="25"/>
        <v>0</v>
      </c>
      <c r="P63" s="70">
        <f t="shared" si="25"/>
        <v>1</v>
      </c>
      <c r="Q63" s="70">
        <f t="shared" si="25"/>
        <v>1</v>
      </c>
      <c r="R63" s="70">
        <f t="shared" si="25"/>
        <v>0</v>
      </c>
      <c r="S63" s="70">
        <f t="shared" si="25"/>
        <v>1</v>
      </c>
      <c r="T63" s="70">
        <f t="shared" si="25"/>
        <v>0</v>
      </c>
      <c r="U63" s="97">
        <f t="shared" si="25"/>
        <v>0</v>
      </c>
      <c r="W63" s="122" t="str">
        <f t="shared" si="26"/>
        <v>0110100</v>
      </c>
      <c r="X63" s="65"/>
      <c r="Y63" s="65"/>
    </row>
    <row r="64" spans="1:40" x14ac:dyDescent="0.35">
      <c r="A64" s="128">
        <v>7</v>
      </c>
      <c r="B64" s="70">
        <f t="shared" si="21"/>
        <v>0</v>
      </c>
      <c r="C64" s="70">
        <f t="shared" si="22"/>
        <v>1</v>
      </c>
      <c r="D64" s="70">
        <f t="shared" si="23"/>
        <v>1</v>
      </c>
      <c r="E64" s="97">
        <f t="shared" si="24"/>
        <v>1</v>
      </c>
      <c r="G64" s="96">
        <v>0</v>
      </c>
      <c r="H64" s="70">
        <v>1</v>
      </c>
      <c r="I64" s="70">
        <v>1</v>
      </c>
      <c r="J64" s="70">
        <v>1</v>
      </c>
      <c r="K64" s="70">
        <v>2</v>
      </c>
      <c r="L64" s="70">
        <v>2</v>
      </c>
      <c r="M64" s="97">
        <v>3</v>
      </c>
      <c r="N64" s="78"/>
      <c r="O64" s="96">
        <f t="shared" si="25"/>
        <v>0</v>
      </c>
      <c r="P64" s="70">
        <f t="shared" si="25"/>
        <v>1</v>
      </c>
      <c r="Q64" s="70">
        <f t="shared" si="25"/>
        <v>1</v>
      </c>
      <c r="R64" s="70">
        <f t="shared" si="25"/>
        <v>1</v>
      </c>
      <c r="S64" s="70">
        <f t="shared" si="25"/>
        <v>0</v>
      </c>
      <c r="T64" s="70">
        <f t="shared" si="25"/>
        <v>0</v>
      </c>
      <c r="U64" s="97">
        <f t="shared" si="25"/>
        <v>1</v>
      </c>
      <c r="W64" s="122" t="str">
        <f t="shared" si="26"/>
        <v>0111001</v>
      </c>
      <c r="X64" s="65"/>
      <c r="Y64" s="65"/>
    </row>
    <row r="65" spans="1:25" x14ac:dyDescent="0.35">
      <c r="A65" s="128">
        <v>8</v>
      </c>
      <c r="B65" s="125">
        <f t="shared" si="21"/>
        <v>1</v>
      </c>
      <c r="C65" s="125">
        <f t="shared" si="22"/>
        <v>0</v>
      </c>
      <c r="D65" s="125">
        <f t="shared" si="23"/>
        <v>0</v>
      </c>
      <c r="E65" s="126">
        <f t="shared" si="24"/>
        <v>0</v>
      </c>
      <c r="F65" s="121"/>
      <c r="G65" s="124">
        <v>1</v>
      </c>
      <c r="H65" s="125">
        <v>0</v>
      </c>
      <c r="I65" s="125">
        <v>0</v>
      </c>
      <c r="J65" s="125">
        <v>0</v>
      </c>
      <c r="K65" s="125">
        <v>1</v>
      </c>
      <c r="L65" s="125">
        <v>1</v>
      </c>
      <c r="M65" s="126">
        <v>0</v>
      </c>
      <c r="N65" s="123"/>
      <c r="O65" s="124">
        <f t="shared" si="25"/>
        <v>1</v>
      </c>
      <c r="P65" s="125">
        <f t="shared" si="25"/>
        <v>0</v>
      </c>
      <c r="Q65" s="125">
        <f t="shared" si="25"/>
        <v>0</v>
      </c>
      <c r="R65" s="125">
        <f t="shared" si="25"/>
        <v>0</v>
      </c>
      <c r="S65" s="125">
        <f t="shared" si="25"/>
        <v>1</v>
      </c>
      <c r="T65" s="125">
        <f t="shared" si="25"/>
        <v>1</v>
      </c>
      <c r="U65" s="126">
        <f t="shared" si="25"/>
        <v>0</v>
      </c>
      <c r="W65" s="122" t="str">
        <f t="shared" si="26"/>
        <v>1000110</v>
      </c>
      <c r="X65" s="65"/>
      <c r="Y65" s="65"/>
    </row>
    <row r="66" spans="1:25" x14ac:dyDescent="0.35">
      <c r="A66" s="128">
        <v>9</v>
      </c>
      <c r="B66" s="70">
        <f t="shared" si="21"/>
        <v>1</v>
      </c>
      <c r="C66" s="70">
        <f t="shared" si="22"/>
        <v>0</v>
      </c>
      <c r="D66" s="70">
        <f t="shared" si="23"/>
        <v>0</v>
      </c>
      <c r="E66" s="97">
        <f t="shared" si="24"/>
        <v>1</v>
      </c>
      <c r="G66" s="96">
        <v>1</v>
      </c>
      <c r="H66" s="70">
        <v>0</v>
      </c>
      <c r="I66" s="70">
        <v>0</v>
      </c>
      <c r="J66" s="70">
        <v>1</v>
      </c>
      <c r="K66" s="70">
        <v>2</v>
      </c>
      <c r="L66" s="70">
        <v>1</v>
      </c>
      <c r="M66" s="97">
        <v>1</v>
      </c>
      <c r="N66" s="78"/>
      <c r="O66" s="96">
        <f t="shared" si="25"/>
        <v>1</v>
      </c>
      <c r="P66" s="70">
        <f t="shared" si="25"/>
        <v>0</v>
      </c>
      <c r="Q66" s="70">
        <f t="shared" si="25"/>
        <v>0</v>
      </c>
      <c r="R66" s="70">
        <f t="shared" si="25"/>
        <v>1</v>
      </c>
      <c r="S66" s="70">
        <f t="shared" si="25"/>
        <v>0</v>
      </c>
      <c r="T66" s="70">
        <f t="shared" si="25"/>
        <v>1</v>
      </c>
      <c r="U66" s="97">
        <f t="shared" si="25"/>
        <v>1</v>
      </c>
      <c r="W66" s="122" t="str">
        <f t="shared" si="26"/>
        <v>1001011</v>
      </c>
      <c r="X66" s="65"/>
      <c r="Y66" s="65"/>
    </row>
    <row r="67" spans="1:25" x14ac:dyDescent="0.35">
      <c r="A67" s="128">
        <v>10</v>
      </c>
      <c r="B67" s="70">
        <f t="shared" si="21"/>
        <v>1</v>
      </c>
      <c r="C67" s="70">
        <f t="shared" si="22"/>
        <v>0</v>
      </c>
      <c r="D67" s="70">
        <f t="shared" si="23"/>
        <v>1</v>
      </c>
      <c r="E67" s="97">
        <f t="shared" si="24"/>
        <v>0</v>
      </c>
      <c r="G67" s="96">
        <v>1</v>
      </c>
      <c r="H67" s="70">
        <v>0</v>
      </c>
      <c r="I67" s="70">
        <v>1</v>
      </c>
      <c r="J67" s="70">
        <v>0</v>
      </c>
      <c r="K67" s="70">
        <v>2</v>
      </c>
      <c r="L67" s="70">
        <v>2</v>
      </c>
      <c r="M67" s="97">
        <v>1</v>
      </c>
      <c r="N67" s="78"/>
      <c r="O67" s="96">
        <f t="shared" si="25"/>
        <v>1</v>
      </c>
      <c r="P67" s="70">
        <f t="shared" si="25"/>
        <v>0</v>
      </c>
      <c r="Q67" s="70">
        <f t="shared" si="25"/>
        <v>1</v>
      </c>
      <c r="R67" s="70">
        <f t="shared" si="25"/>
        <v>0</v>
      </c>
      <c r="S67" s="70">
        <f t="shared" si="25"/>
        <v>0</v>
      </c>
      <c r="T67" s="70">
        <f t="shared" si="25"/>
        <v>0</v>
      </c>
      <c r="U67" s="97">
        <f t="shared" si="25"/>
        <v>1</v>
      </c>
      <c r="W67" s="122" t="str">
        <f t="shared" si="26"/>
        <v>1010001</v>
      </c>
      <c r="X67" s="65"/>
      <c r="Y67" s="65"/>
    </row>
    <row r="68" spans="1:25" x14ac:dyDescent="0.35">
      <c r="A68" s="128">
        <v>11</v>
      </c>
      <c r="B68" s="70">
        <f t="shared" si="21"/>
        <v>1</v>
      </c>
      <c r="C68" s="70">
        <f t="shared" si="22"/>
        <v>0</v>
      </c>
      <c r="D68" s="70">
        <f t="shared" si="23"/>
        <v>1</v>
      </c>
      <c r="E68" s="97">
        <f t="shared" si="24"/>
        <v>1</v>
      </c>
      <c r="G68" s="96">
        <v>1</v>
      </c>
      <c r="H68" s="70">
        <v>0</v>
      </c>
      <c r="I68" s="70">
        <v>1</v>
      </c>
      <c r="J68" s="70">
        <v>1</v>
      </c>
      <c r="K68" s="70">
        <v>3</v>
      </c>
      <c r="L68" s="70">
        <v>2</v>
      </c>
      <c r="M68" s="97">
        <v>2</v>
      </c>
      <c r="N68" s="78"/>
      <c r="O68" s="96">
        <f t="shared" si="25"/>
        <v>1</v>
      </c>
      <c r="P68" s="70">
        <f t="shared" si="25"/>
        <v>0</v>
      </c>
      <c r="Q68" s="70">
        <f t="shared" si="25"/>
        <v>1</v>
      </c>
      <c r="R68" s="70">
        <f t="shared" si="25"/>
        <v>1</v>
      </c>
      <c r="S68" s="70">
        <f t="shared" si="25"/>
        <v>1</v>
      </c>
      <c r="T68" s="70">
        <f t="shared" si="25"/>
        <v>0</v>
      </c>
      <c r="U68" s="97">
        <f t="shared" si="25"/>
        <v>0</v>
      </c>
      <c r="W68" s="122" t="str">
        <f t="shared" si="26"/>
        <v>1011100</v>
      </c>
      <c r="X68" s="65"/>
      <c r="Y68" s="65"/>
    </row>
    <row r="69" spans="1:25" x14ac:dyDescent="0.35">
      <c r="A69" s="128">
        <v>12</v>
      </c>
      <c r="B69" s="70">
        <f t="shared" si="21"/>
        <v>1</v>
      </c>
      <c r="C69" s="70">
        <f t="shared" si="22"/>
        <v>1</v>
      </c>
      <c r="D69" s="70">
        <f t="shared" si="23"/>
        <v>0</v>
      </c>
      <c r="E69" s="97">
        <f t="shared" si="24"/>
        <v>0</v>
      </c>
      <c r="G69" s="96">
        <v>1</v>
      </c>
      <c r="H69" s="70">
        <v>1</v>
      </c>
      <c r="I69" s="70">
        <v>0</v>
      </c>
      <c r="J69" s="70">
        <v>0</v>
      </c>
      <c r="K69" s="70">
        <v>1</v>
      </c>
      <c r="L69" s="70">
        <v>2</v>
      </c>
      <c r="M69" s="97">
        <v>1</v>
      </c>
      <c r="N69" s="78"/>
      <c r="O69" s="96">
        <f t="shared" si="25"/>
        <v>1</v>
      </c>
      <c r="P69" s="70">
        <f t="shared" si="25"/>
        <v>1</v>
      </c>
      <c r="Q69" s="70">
        <f t="shared" si="25"/>
        <v>0</v>
      </c>
      <c r="R69" s="70">
        <f t="shared" si="25"/>
        <v>0</v>
      </c>
      <c r="S69" s="70">
        <f t="shared" si="25"/>
        <v>1</v>
      </c>
      <c r="T69" s="70">
        <f t="shared" si="25"/>
        <v>0</v>
      </c>
      <c r="U69" s="97">
        <f t="shared" si="25"/>
        <v>1</v>
      </c>
      <c r="W69" s="122" t="str">
        <f t="shared" si="26"/>
        <v>1100101</v>
      </c>
      <c r="X69" s="65"/>
      <c r="Y69" s="65"/>
    </row>
    <row r="70" spans="1:25" x14ac:dyDescent="0.35">
      <c r="A70" s="128">
        <v>13</v>
      </c>
      <c r="B70" s="70">
        <f t="shared" si="21"/>
        <v>1</v>
      </c>
      <c r="C70" s="70">
        <f t="shared" si="22"/>
        <v>1</v>
      </c>
      <c r="D70" s="70">
        <f t="shared" si="23"/>
        <v>0</v>
      </c>
      <c r="E70" s="97">
        <f t="shared" si="24"/>
        <v>1</v>
      </c>
      <c r="G70" s="96">
        <v>1</v>
      </c>
      <c r="H70" s="70">
        <v>1</v>
      </c>
      <c r="I70" s="70">
        <v>0</v>
      </c>
      <c r="J70" s="70">
        <v>1</v>
      </c>
      <c r="K70" s="70">
        <v>2</v>
      </c>
      <c r="L70" s="70">
        <v>2</v>
      </c>
      <c r="M70" s="97">
        <v>2</v>
      </c>
      <c r="N70" s="78"/>
      <c r="O70" s="96">
        <f t="shared" si="25"/>
        <v>1</v>
      </c>
      <c r="P70" s="70">
        <f t="shared" si="25"/>
        <v>1</v>
      </c>
      <c r="Q70" s="70">
        <f t="shared" si="25"/>
        <v>0</v>
      </c>
      <c r="R70" s="70">
        <f t="shared" si="25"/>
        <v>1</v>
      </c>
      <c r="S70" s="70">
        <f t="shared" si="25"/>
        <v>0</v>
      </c>
      <c r="T70" s="70">
        <f t="shared" si="25"/>
        <v>0</v>
      </c>
      <c r="U70" s="97">
        <f t="shared" si="25"/>
        <v>0</v>
      </c>
      <c r="W70" s="122" t="str">
        <f t="shared" si="26"/>
        <v>1101000</v>
      </c>
      <c r="X70" s="65"/>
      <c r="Y70" s="65"/>
    </row>
    <row r="71" spans="1:25" x14ac:dyDescent="0.35">
      <c r="A71" s="128">
        <v>14</v>
      </c>
      <c r="B71" s="70">
        <f t="shared" si="21"/>
        <v>1</v>
      </c>
      <c r="C71" s="70">
        <f t="shared" si="22"/>
        <v>1</v>
      </c>
      <c r="D71" s="70">
        <f t="shared" si="23"/>
        <v>1</v>
      </c>
      <c r="E71" s="97">
        <f t="shared" si="24"/>
        <v>0</v>
      </c>
      <c r="G71" s="96">
        <v>1</v>
      </c>
      <c r="H71" s="70">
        <v>1</v>
      </c>
      <c r="I71" s="70">
        <v>1</v>
      </c>
      <c r="J71" s="70">
        <v>0</v>
      </c>
      <c r="K71" s="70">
        <v>2</v>
      </c>
      <c r="L71" s="70">
        <v>3</v>
      </c>
      <c r="M71" s="97">
        <v>2</v>
      </c>
      <c r="N71" s="78"/>
      <c r="O71" s="96">
        <f t="shared" si="25"/>
        <v>1</v>
      </c>
      <c r="P71" s="70">
        <f t="shared" si="25"/>
        <v>1</v>
      </c>
      <c r="Q71" s="70">
        <f t="shared" si="25"/>
        <v>1</v>
      </c>
      <c r="R71" s="70">
        <f t="shared" si="25"/>
        <v>0</v>
      </c>
      <c r="S71" s="70">
        <f t="shared" si="25"/>
        <v>0</v>
      </c>
      <c r="T71" s="70">
        <f t="shared" si="25"/>
        <v>1</v>
      </c>
      <c r="U71" s="97">
        <f t="shared" si="25"/>
        <v>0</v>
      </c>
      <c r="W71" s="122" t="str">
        <f t="shared" si="26"/>
        <v>1110010</v>
      </c>
      <c r="X71" s="65"/>
      <c r="Y71" s="65"/>
    </row>
    <row r="72" spans="1:25" ht="18.600000000000001" thickBot="1" x14ac:dyDescent="0.4">
      <c r="A72" s="129">
        <v>15</v>
      </c>
      <c r="B72" s="99">
        <f t="shared" si="21"/>
        <v>1</v>
      </c>
      <c r="C72" s="99">
        <f t="shared" si="22"/>
        <v>1</v>
      </c>
      <c r="D72" s="99">
        <f t="shared" si="23"/>
        <v>1</v>
      </c>
      <c r="E72" s="100">
        <f t="shared" si="24"/>
        <v>1</v>
      </c>
      <c r="G72" s="98">
        <v>1</v>
      </c>
      <c r="H72" s="99">
        <v>1</v>
      </c>
      <c r="I72" s="99">
        <v>1</v>
      </c>
      <c r="J72" s="99">
        <v>1</v>
      </c>
      <c r="K72" s="99">
        <v>3</v>
      </c>
      <c r="L72" s="99">
        <v>3</v>
      </c>
      <c r="M72" s="100">
        <v>3</v>
      </c>
      <c r="N72" s="78"/>
      <c r="O72" s="98">
        <f t="shared" si="25"/>
        <v>1</v>
      </c>
      <c r="P72" s="99">
        <f t="shared" si="25"/>
        <v>1</v>
      </c>
      <c r="Q72" s="99">
        <f t="shared" si="25"/>
        <v>1</v>
      </c>
      <c r="R72" s="99">
        <f t="shared" si="25"/>
        <v>1</v>
      </c>
      <c r="S72" s="99">
        <f t="shared" si="25"/>
        <v>1</v>
      </c>
      <c r="T72" s="99">
        <f t="shared" si="25"/>
        <v>1</v>
      </c>
      <c r="U72" s="100">
        <f t="shared" si="25"/>
        <v>1</v>
      </c>
      <c r="W72" s="122" t="str">
        <f t="shared" si="26"/>
        <v>1111111</v>
      </c>
      <c r="X72" s="65"/>
      <c r="Y72" s="65"/>
    </row>
  </sheetData>
  <mergeCells count="4">
    <mergeCell ref="W56:Y56"/>
    <mergeCell ref="O56:U56"/>
    <mergeCell ref="G56:M56"/>
    <mergeCell ref="A56:E5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E503B-657C-42FB-B129-468E9A0C7EA2}">
  <dimension ref="A1:Q79"/>
  <sheetViews>
    <sheetView workbookViewId="0">
      <selection activeCell="I10" sqref="I10"/>
    </sheetView>
  </sheetViews>
  <sheetFormatPr defaultRowHeight="18" x14ac:dyDescent="0.35"/>
  <cols>
    <col min="1" max="1" width="3.453125" customWidth="1"/>
    <col min="3" max="3" width="8.453125" customWidth="1"/>
  </cols>
  <sheetData>
    <row r="1" spans="1:17" x14ac:dyDescent="0.35">
      <c r="A1" s="74" t="s">
        <v>131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17" x14ac:dyDescent="0.35">
      <c r="A2" s="132"/>
      <c r="B2" s="132"/>
      <c r="C2" s="132"/>
      <c r="D2" s="132"/>
      <c r="E2" s="152" t="s">
        <v>137</v>
      </c>
      <c r="F2" s="132"/>
      <c r="G2" s="132"/>
      <c r="H2" s="58"/>
      <c r="I2" s="58"/>
      <c r="J2" s="58"/>
      <c r="K2" s="58"/>
      <c r="L2" s="58"/>
      <c r="M2" s="58"/>
      <c r="N2" s="58"/>
      <c r="O2" s="58"/>
      <c r="P2" s="58"/>
      <c r="Q2" s="58"/>
    </row>
    <row r="3" spans="1:17" x14ac:dyDescent="0.35">
      <c r="A3" s="133" t="s">
        <v>73</v>
      </c>
      <c r="B3" s="133" t="s">
        <v>139</v>
      </c>
      <c r="C3" s="133" t="s">
        <v>140</v>
      </c>
      <c r="D3" s="133" t="s">
        <v>135</v>
      </c>
      <c r="E3" s="153"/>
      <c r="F3" s="133" t="s">
        <v>132</v>
      </c>
      <c r="G3" s="133" t="s">
        <v>136</v>
      </c>
      <c r="H3" s="58"/>
      <c r="I3" s="58"/>
      <c r="J3" s="58"/>
      <c r="K3" s="58"/>
      <c r="L3" s="58"/>
      <c r="M3" s="58"/>
      <c r="N3" s="58"/>
      <c r="O3" s="58"/>
      <c r="P3" s="58"/>
      <c r="Q3" s="58"/>
    </row>
    <row r="4" spans="1:17" x14ac:dyDescent="0.35">
      <c r="A4" s="136">
        <v>0</v>
      </c>
      <c r="B4" s="70" t="str">
        <f>'7'!W57</f>
        <v>0000000</v>
      </c>
      <c r="C4" s="70" t="str">
        <f>DEC2HEX(BIN2DEC(B4),2)</f>
        <v>00</v>
      </c>
      <c r="D4" s="70" t="str">
        <f>MID(B4,7,1)&amp;LEFT(B4,6)</f>
        <v>0000000</v>
      </c>
      <c r="E4" s="70" t="str">
        <f>IF(COUNTIF($B$4:$B$19,D4)&gt;0,"да","нет")</f>
        <v>да</v>
      </c>
      <c r="F4" s="70">
        <f>SUM('7'!O57:U57)</f>
        <v>0</v>
      </c>
      <c r="G4" s="70" t="str">
        <f>IF(F4=0,"",F4)</f>
        <v/>
      </c>
      <c r="H4" s="58"/>
      <c r="I4" s="58"/>
      <c r="J4" s="58"/>
      <c r="K4" s="58"/>
      <c r="L4" s="58"/>
      <c r="M4" s="58"/>
      <c r="N4" s="58"/>
      <c r="O4" s="58"/>
      <c r="P4" s="58"/>
      <c r="Q4" s="58"/>
    </row>
    <row r="5" spans="1:17" x14ac:dyDescent="0.35">
      <c r="A5" s="136">
        <v>1</v>
      </c>
      <c r="B5" s="70" t="str">
        <f>'7'!W58</f>
        <v>0001101</v>
      </c>
      <c r="C5" s="70" t="str">
        <f t="shared" ref="C5:C19" si="0">DEC2HEX(BIN2DEC(B5),2)</f>
        <v>0D</v>
      </c>
      <c r="D5" s="70" t="str">
        <f t="shared" ref="D5:D19" si="1">MID(B5,7,1)&amp;LEFT(B5,6)</f>
        <v>1000110</v>
      </c>
      <c r="E5" s="70" t="str">
        <f t="shared" ref="E5:E19" si="2">IF(COUNTIF($B$4:$B$19,D5)&gt;0,"да","нет")</f>
        <v>да</v>
      </c>
      <c r="F5" s="70">
        <f>SUM('7'!O58:U58)</f>
        <v>3</v>
      </c>
      <c r="G5" s="70">
        <f t="shared" ref="G5:G19" si="3">IF(F5=0,"",F5)</f>
        <v>3</v>
      </c>
      <c r="H5" s="58"/>
      <c r="I5" s="58"/>
      <c r="J5" s="58"/>
      <c r="K5" s="58"/>
      <c r="L5" s="58"/>
      <c r="M5" s="58"/>
      <c r="N5" s="58"/>
      <c r="O5" s="58"/>
      <c r="P5" s="58"/>
      <c r="Q5" s="58"/>
    </row>
    <row r="6" spans="1:17" x14ac:dyDescent="0.35">
      <c r="A6" s="136">
        <v>2</v>
      </c>
      <c r="B6" s="70" t="str">
        <f>'7'!W59</f>
        <v>0010111</v>
      </c>
      <c r="C6" s="70" t="str">
        <f t="shared" si="0"/>
        <v>17</v>
      </c>
      <c r="D6" s="70" t="str">
        <f t="shared" si="1"/>
        <v>1001011</v>
      </c>
      <c r="E6" s="70" t="str">
        <f t="shared" si="2"/>
        <v>да</v>
      </c>
      <c r="F6" s="70">
        <f>SUM('7'!O59:U59)</f>
        <v>4</v>
      </c>
      <c r="G6" s="70">
        <f t="shared" si="3"/>
        <v>4</v>
      </c>
      <c r="H6" s="58"/>
      <c r="I6" s="58"/>
      <c r="J6" s="58"/>
      <c r="K6" s="58"/>
      <c r="L6" s="58"/>
      <c r="M6" s="58"/>
      <c r="N6" s="58"/>
      <c r="O6" s="58"/>
      <c r="P6" s="58"/>
      <c r="Q6" s="58"/>
    </row>
    <row r="7" spans="1:17" x14ac:dyDescent="0.35">
      <c r="A7" s="136">
        <v>3</v>
      </c>
      <c r="B7" s="70" t="str">
        <f>'7'!W60</f>
        <v>0011010</v>
      </c>
      <c r="C7" s="70" t="str">
        <f t="shared" si="0"/>
        <v>1A</v>
      </c>
      <c r="D7" s="70" t="str">
        <f t="shared" si="1"/>
        <v>0001101</v>
      </c>
      <c r="E7" s="70" t="str">
        <f t="shared" si="2"/>
        <v>да</v>
      </c>
      <c r="F7" s="70">
        <f>SUM('7'!O60:U60)</f>
        <v>3</v>
      </c>
      <c r="G7" s="70">
        <f t="shared" si="3"/>
        <v>3</v>
      </c>
      <c r="H7" s="58"/>
      <c r="I7" s="58"/>
      <c r="J7" s="58"/>
      <c r="K7" s="58"/>
      <c r="L7" s="58"/>
      <c r="M7" s="58"/>
      <c r="N7" s="58"/>
      <c r="O7" s="58"/>
      <c r="P7" s="58"/>
      <c r="Q7" s="58"/>
    </row>
    <row r="8" spans="1:17" x14ac:dyDescent="0.35">
      <c r="A8" s="136">
        <v>4</v>
      </c>
      <c r="B8" s="70" t="str">
        <f>'7'!W61</f>
        <v>0100011</v>
      </c>
      <c r="C8" s="70" t="str">
        <f t="shared" si="0"/>
        <v>23</v>
      </c>
      <c r="D8" s="70" t="str">
        <f t="shared" si="1"/>
        <v>1010001</v>
      </c>
      <c r="E8" s="70" t="str">
        <f t="shared" si="2"/>
        <v>да</v>
      </c>
      <c r="F8" s="70">
        <f>SUM('7'!O61:U61)</f>
        <v>3</v>
      </c>
      <c r="G8" s="70">
        <f t="shared" si="3"/>
        <v>3</v>
      </c>
      <c r="H8" s="58"/>
      <c r="I8" s="58"/>
      <c r="J8" s="58"/>
      <c r="K8" s="58"/>
      <c r="L8" s="58"/>
      <c r="M8" s="58"/>
      <c r="N8" s="58"/>
      <c r="O8" s="58"/>
      <c r="P8" s="58"/>
      <c r="Q8" s="58"/>
    </row>
    <row r="9" spans="1:17" x14ac:dyDescent="0.35">
      <c r="A9" s="136">
        <v>5</v>
      </c>
      <c r="B9" s="70" t="str">
        <f>'7'!W62</f>
        <v>0101110</v>
      </c>
      <c r="C9" s="70" t="str">
        <f t="shared" si="0"/>
        <v>2E</v>
      </c>
      <c r="D9" s="70" t="str">
        <f t="shared" si="1"/>
        <v>0010111</v>
      </c>
      <c r="E9" s="70" t="str">
        <f t="shared" si="2"/>
        <v>да</v>
      </c>
      <c r="F9" s="70">
        <f>SUM('7'!O62:U62)</f>
        <v>4</v>
      </c>
      <c r="G9" s="70">
        <f t="shared" si="3"/>
        <v>4</v>
      </c>
      <c r="H9" s="58"/>
      <c r="I9" s="58"/>
      <c r="J9" s="58"/>
      <c r="K9" s="58"/>
      <c r="L9" s="58"/>
      <c r="M9" s="58"/>
      <c r="N9" s="58"/>
      <c r="O9" s="58"/>
      <c r="P9" s="58"/>
      <c r="Q9" s="58"/>
    </row>
    <row r="10" spans="1:17" x14ac:dyDescent="0.35">
      <c r="A10" s="136">
        <v>6</v>
      </c>
      <c r="B10" s="70" t="str">
        <f>'7'!W63</f>
        <v>0110100</v>
      </c>
      <c r="C10" s="70" t="str">
        <f t="shared" si="0"/>
        <v>34</v>
      </c>
      <c r="D10" s="70" t="str">
        <f t="shared" si="1"/>
        <v>0011010</v>
      </c>
      <c r="E10" s="70" t="str">
        <f t="shared" si="2"/>
        <v>да</v>
      </c>
      <c r="F10" s="70">
        <f>SUM('7'!O63:U63)</f>
        <v>3</v>
      </c>
      <c r="G10" s="70">
        <f t="shared" si="3"/>
        <v>3</v>
      </c>
      <c r="H10" s="58"/>
      <c r="I10" s="58"/>
      <c r="J10" s="58"/>
      <c r="K10" s="58"/>
      <c r="L10" s="58"/>
      <c r="M10" s="58"/>
      <c r="N10" s="58"/>
      <c r="O10" s="58"/>
      <c r="P10" s="58"/>
      <c r="Q10" s="58"/>
    </row>
    <row r="11" spans="1:17" x14ac:dyDescent="0.35">
      <c r="A11" s="136">
        <v>7</v>
      </c>
      <c r="B11" s="70" t="str">
        <f>'7'!W64</f>
        <v>0111001</v>
      </c>
      <c r="C11" s="70" t="str">
        <f t="shared" si="0"/>
        <v>39</v>
      </c>
      <c r="D11" s="70" t="str">
        <f t="shared" si="1"/>
        <v>1011100</v>
      </c>
      <c r="E11" s="70" t="str">
        <f t="shared" si="2"/>
        <v>да</v>
      </c>
      <c r="F11" s="70">
        <f>SUM('7'!O64:U64)</f>
        <v>4</v>
      </c>
      <c r="G11" s="70">
        <f t="shared" si="3"/>
        <v>4</v>
      </c>
      <c r="H11" s="58"/>
      <c r="I11" s="58"/>
      <c r="J11" s="58"/>
      <c r="K11" s="58"/>
      <c r="L11" s="58"/>
      <c r="M11" s="58"/>
      <c r="N11" s="58"/>
      <c r="O11" s="58"/>
      <c r="P11" s="58"/>
      <c r="Q11" s="58"/>
    </row>
    <row r="12" spans="1:17" x14ac:dyDescent="0.35">
      <c r="A12" s="136">
        <v>8</v>
      </c>
      <c r="B12" s="70" t="str">
        <f>'7'!W65</f>
        <v>1000110</v>
      </c>
      <c r="C12" s="70" t="str">
        <f t="shared" si="0"/>
        <v>46</v>
      </c>
      <c r="D12" s="70" t="str">
        <f t="shared" si="1"/>
        <v>0100011</v>
      </c>
      <c r="E12" s="70" t="str">
        <f t="shared" si="2"/>
        <v>да</v>
      </c>
      <c r="F12" s="70">
        <f>SUM('7'!O65:U65)</f>
        <v>3</v>
      </c>
      <c r="G12" s="70">
        <f t="shared" si="3"/>
        <v>3</v>
      </c>
      <c r="H12" s="58"/>
      <c r="I12" s="58"/>
      <c r="J12" s="58"/>
      <c r="K12" s="58"/>
      <c r="L12" s="58"/>
      <c r="M12" s="58"/>
      <c r="N12" s="58"/>
      <c r="O12" s="58"/>
      <c r="P12" s="58"/>
      <c r="Q12" s="58"/>
    </row>
    <row r="13" spans="1:17" x14ac:dyDescent="0.35">
      <c r="A13" s="136">
        <v>9</v>
      </c>
      <c r="B13" s="70" t="str">
        <f>'7'!W66</f>
        <v>1001011</v>
      </c>
      <c r="C13" s="70" t="str">
        <f t="shared" si="0"/>
        <v>4B</v>
      </c>
      <c r="D13" s="70" t="str">
        <f t="shared" si="1"/>
        <v>1100101</v>
      </c>
      <c r="E13" s="70" t="str">
        <f t="shared" si="2"/>
        <v>да</v>
      </c>
      <c r="F13" s="70">
        <f>SUM('7'!O66:U66)</f>
        <v>4</v>
      </c>
      <c r="G13" s="70">
        <f t="shared" si="3"/>
        <v>4</v>
      </c>
      <c r="H13" s="58"/>
      <c r="I13" s="58"/>
      <c r="J13" s="58"/>
      <c r="K13" s="58"/>
      <c r="L13" s="58"/>
      <c r="M13" s="58"/>
      <c r="N13" s="58"/>
      <c r="O13" s="58"/>
      <c r="P13" s="58"/>
      <c r="Q13" s="58"/>
    </row>
    <row r="14" spans="1:17" x14ac:dyDescent="0.35">
      <c r="A14" s="136">
        <v>10</v>
      </c>
      <c r="B14" s="70" t="str">
        <f>'7'!W67</f>
        <v>1010001</v>
      </c>
      <c r="C14" s="70" t="str">
        <f t="shared" si="0"/>
        <v>51</v>
      </c>
      <c r="D14" s="70" t="str">
        <f t="shared" si="1"/>
        <v>1101000</v>
      </c>
      <c r="E14" s="70" t="str">
        <f t="shared" si="2"/>
        <v>да</v>
      </c>
      <c r="F14" s="70">
        <f>SUM('7'!O67:U67)</f>
        <v>3</v>
      </c>
      <c r="G14" s="70">
        <f t="shared" si="3"/>
        <v>3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</row>
    <row r="15" spans="1:17" x14ac:dyDescent="0.35">
      <c r="A15" s="136">
        <v>11</v>
      </c>
      <c r="B15" s="70" t="str">
        <f>'7'!W68</f>
        <v>1011100</v>
      </c>
      <c r="C15" s="70" t="str">
        <f t="shared" si="0"/>
        <v>5C</v>
      </c>
      <c r="D15" s="70" t="str">
        <f t="shared" si="1"/>
        <v>0101110</v>
      </c>
      <c r="E15" s="70" t="str">
        <f t="shared" si="2"/>
        <v>да</v>
      </c>
      <c r="F15" s="70">
        <f>SUM('7'!O68:U68)</f>
        <v>4</v>
      </c>
      <c r="G15" s="70">
        <f t="shared" si="3"/>
        <v>4</v>
      </c>
      <c r="H15" s="58"/>
      <c r="I15" s="58"/>
      <c r="J15" s="58"/>
      <c r="K15" s="58"/>
      <c r="L15" s="58"/>
      <c r="M15" s="58"/>
      <c r="N15" s="58"/>
      <c r="O15" s="58"/>
      <c r="P15" s="58"/>
      <c r="Q15" s="58"/>
    </row>
    <row r="16" spans="1:17" x14ac:dyDescent="0.35">
      <c r="A16" s="136">
        <v>12</v>
      </c>
      <c r="B16" s="70" t="str">
        <f>'7'!W69</f>
        <v>1100101</v>
      </c>
      <c r="C16" s="70" t="str">
        <f t="shared" si="0"/>
        <v>65</v>
      </c>
      <c r="D16" s="70" t="str">
        <f t="shared" si="1"/>
        <v>1110010</v>
      </c>
      <c r="E16" s="70" t="str">
        <f t="shared" si="2"/>
        <v>да</v>
      </c>
      <c r="F16" s="70">
        <f>SUM('7'!O69:U69)</f>
        <v>4</v>
      </c>
      <c r="G16" s="70">
        <f t="shared" si="3"/>
        <v>4</v>
      </c>
      <c r="H16" s="58"/>
      <c r="I16" s="58"/>
      <c r="J16" s="58"/>
      <c r="K16" s="58"/>
      <c r="L16" s="58"/>
      <c r="M16" s="58"/>
      <c r="N16" s="58"/>
      <c r="O16" s="58"/>
      <c r="P16" s="58"/>
      <c r="Q16" s="58"/>
    </row>
    <row r="17" spans="1:17" x14ac:dyDescent="0.35">
      <c r="A17" s="136">
        <v>13</v>
      </c>
      <c r="B17" s="70" t="str">
        <f>'7'!W70</f>
        <v>1101000</v>
      </c>
      <c r="C17" s="70" t="str">
        <f t="shared" si="0"/>
        <v>68</v>
      </c>
      <c r="D17" s="70" t="str">
        <f t="shared" si="1"/>
        <v>0110100</v>
      </c>
      <c r="E17" s="70" t="str">
        <f t="shared" si="2"/>
        <v>да</v>
      </c>
      <c r="F17" s="70">
        <f>SUM('7'!O70:U70)</f>
        <v>3</v>
      </c>
      <c r="G17" s="70">
        <f t="shared" si="3"/>
        <v>3</v>
      </c>
      <c r="H17" s="58"/>
      <c r="I17" s="58"/>
      <c r="J17" s="58"/>
      <c r="K17" s="58"/>
      <c r="L17" s="58"/>
      <c r="M17" s="58"/>
      <c r="N17" s="58"/>
      <c r="O17" s="58"/>
      <c r="P17" s="58"/>
      <c r="Q17" s="58"/>
    </row>
    <row r="18" spans="1:17" x14ac:dyDescent="0.35">
      <c r="A18" s="136">
        <v>14</v>
      </c>
      <c r="B18" s="70" t="str">
        <f>'7'!W71</f>
        <v>1110010</v>
      </c>
      <c r="C18" s="70" t="str">
        <f t="shared" si="0"/>
        <v>72</v>
      </c>
      <c r="D18" s="70" t="str">
        <f t="shared" si="1"/>
        <v>0111001</v>
      </c>
      <c r="E18" s="70" t="str">
        <f t="shared" si="2"/>
        <v>да</v>
      </c>
      <c r="F18" s="70">
        <f>SUM('7'!O71:U71)</f>
        <v>4</v>
      </c>
      <c r="G18" s="70">
        <f t="shared" si="3"/>
        <v>4</v>
      </c>
      <c r="H18" s="58"/>
      <c r="I18" s="58"/>
      <c r="J18" s="58"/>
      <c r="K18" s="58"/>
      <c r="L18" s="58"/>
      <c r="M18" s="58"/>
      <c r="N18" s="58"/>
      <c r="O18" s="58"/>
      <c r="P18" s="58"/>
      <c r="Q18" s="58"/>
    </row>
    <row r="19" spans="1:17" x14ac:dyDescent="0.35">
      <c r="A19" s="136">
        <v>15</v>
      </c>
      <c r="B19" s="70" t="str">
        <f>'7'!W72</f>
        <v>1111111</v>
      </c>
      <c r="C19" s="70" t="str">
        <f t="shared" si="0"/>
        <v>7F</v>
      </c>
      <c r="D19" s="70" t="str">
        <f t="shared" si="1"/>
        <v>1111111</v>
      </c>
      <c r="E19" s="70" t="str">
        <f t="shared" si="2"/>
        <v>да</v>
      </c>
      <c r="F19" s="70">
        <f>SUM('7'!O72:U72)</f>
        <v>7</v>
      </c>
      <c r="G19" s="70">
        <f t="shared" si="3"/>
        <v>7</v>
      </c>
      <c r="H19" s="58"/>
      <c r="I19" s="58"/>
      <c r="J19" s="58"/>
      <c r="K19" s="58"/>
      <c r="L19" s="58"/>
      <c r="M19" s="58"/>
      <c r="N19" s="58"/>
      <c r="O19" s="58"/>
      <c r="P19" s="58"/>
      <c r="Q19" s="58"/>
    </row>
    <row r="20" spans="1:17" x14ac:dyDescent="0.35">
      <c r="A20" s="74" t="s">
        <v>138</v>
      </c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</row>
    <row r="21" spans="1:17" x14ac:dyDescent="0.35">
      <c r="B21" s="77" t="s">
        <v>132</v>
      </c>
      <c r="C21" s="58" t="s">
        <v>133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</row>
    <row r="22" spans="1:17" x14ac:dyDescent="0.35">
      <c r="A22" s="58"/>
      <c r="B22" s="70">
        <v>0</v>
      </c>
      <c r="C22" s="70">
        <f>COUNTIF($F$4:$F$19,B22)</f>
        <v>1</v>
      </c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</row>
    <row r="23" spans="1:17" x14ac:dyDescent="0.35">
      <c r="A23" s="58"/>
      <c r="B23" s="70">
        <v>1</v>
      </c>
      <c r="C23" s="70">
        <f t="shared" ref="C23:C29" si="4">COUNTIF($F$4:$F$19,B23)</f>
        <v>0</v>
      </c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</row>
    <row r="24" spans="1:17" x14ac:dyDescent="0.35">
      <c r="A24" s="58"/>
      <c r="B24" s="70">
        <v>2</v>
      </c>
      <c r="C24" s="70">
        <f t="shared" si="4"/>
        <v>0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</row>
    <row r="25" spans="1:17" x14ac:dyDescent="0.35">
      <c r="A25" s="58"/>
      <c r="B25" s="70">
        <v>3</v>
      </c>
      <c r="C25" s="70">
        <f t="shared" si="4"/>
        <v>7</v>
      </c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</row>
    <row r="26" spans="1:17" x14ac:dyDescent="0.35">
      <c r="A26" s="58"/>
      <c r="B26" s="70">
        <v>4</v>
      </c>
      <c r="C26" s="70">
        <f t="shared" si="4"/>
        <v>7</v>
      </c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</row>
    <row r="27" spans="1:17" x14ac:dyDescent="0.35">
      <c r="A27" s="58"/>
      <c r="B27" s="70">
        <v>5</v>
      </c>
      <c r="C27" s="70">
        <f t="shared" si="4"/>
        <v>0</v>
      </c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</row>
    <row r="28" spans="1:17" x14ac:dyDescent="0.35">
      <c r="A28" s="58"/>
      <c r="B28" s="70">
        <v>6</v>
      </c>
      <c r="C28" s="70">
        <f t="shared" si="4"/>
        <v>0</v>
      </c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</row>
    <row r="29" spans="1:17" x14ac:dyDescent="0.35">
      <c r="A29" s="58"/>
      <c r="B29" s="70">
        <v>7</v>
      </c>
      <c r="C29" s="70">
        <f t="shared" si="4"/>
        <v>1</v>
      </c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</row>
    <row r="30" spans="1:17" x14ac:dyDescent="0.35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</row>
    <row r="31" spans="1:17" x14ac:dyDescent="0.35">
      <c r="A31" s="74" t="s">
        <v>142</v>
      </c>
      <c r="B31" s="58"/>
      <c r="F31" s="135">
        <f>MIN(G4:G19)</f>
        <v>3</v>
      </c>
      <c r="G31" s="58" t="s">
        <v>141</v>
      </c>
      <c r="I31" s="58"/>
      <c r="J31" s="58"/>
      <c r="K31" s="58"/>
      <c r="L31" s="58"/>
      <c r="M31" s="58"/>
      <c r="N31" s="58"/>
      <c r="O31" s="58"/>
      <c r="P31" s="58"/>
      <c r="Q31" s="58"/>
    </row>
    <row r="32" spans="1:17" x14ac:dyDescent="0.35"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</row>
    <row r="34" spans="1:17" x14ac:dyDescent="0.35">
      <c r="A34" s="74" t="s">
        <v>143</v>
      </c>
    </row>
    <row r="35" spans="1:17" x14ac:dyDescent="0.35">
      <c r="B35" s="136">
        <v>0</v>
      </c>
      <c r="C35" s="136">
        <v>1</v>
      </c>
      <c r="D35" s="136">
        <v>2</v>
      </c>
      <c r="E35" s="136">
        <v>3</v>
      </c>
      <c r="F35" s="136">
        <v>4</v>
      </c>
      <c r="G35" s="136">
        <v>5</v>
      </c>
      <c r="H35" s="136">
        <v>6</v>
      </c>
      <c r="I35" s="136">
        <v>7</v>
      </c>
      <c r="J35" s="136">
        <v>8</v>
      </c>
      <c r="K35" s="136">
        <v>9</v>
      </c>
      <c r="L35" s="136">
        <v>10</v>
      </c>
      <c r="M35" s="136">
        <v>11</v>
      </c>
      <c r="N35" s="136">
        <v>12</v>
      </c>
      <c r="O35" s="136">
        <v>13</v>
      </c>
      <c r="P35" s="136">
        <v>14</v>
      </c>
      <c r="Q35" s="136">
        <v>15</v>
      </c>
    </row>
    <row r="36" spans="1:17" x14ac:dyDescent="0.35">
      <c r="A36" s="136">
        <v>0</v>
      </c>
      <c r="B36" s="133" cm="1">
        <f t="array" ref="B36">SUMPRODUCT(ABS('7'!$O57:$U57-'7'!$O$57:$U$57))</f>
        <v>0</v>
      </c>
      <c r="C36" s="70" cm="1">
        <f t="array" ref="C36">SUMPRODUCT(ABS('7'!$O57:$U57-'7'!$O$58:$U$58))</f>
        <v>3</v>
      </c>
      <c r="D36" s="70" cm="1">
        <f t="array" ref="D36">SUMPRODUCT(ABS('7'!$O57:$U57-'7'!$O$59:$U$59))</f>
        <v>4</v>
      </c>
      <c r="E36" s="70" cm="1">
        <f t="array" ref="E36">SUMPRODUCT(ABS('7'!$O57:$U57-'7'!$O$60:$U$60))</f>
        <v>3</v>
      </c>
      <c r="F36" s="70" cm="1">
        <f t="array" ref="F36">SUMPRODUCT(ABS('7'!$O57:$U57-'7'!$O$61:$U$61))</f>
        <v>3</v>
      </c>
      <c r="G36" s="70" cm="1">
        <f t="array" ref="G36">SUMPRODUCT(ABS('7'!$O57:$U57-'7'!$O$62:$U$62))</f>
        <v>4</v>
      </c>
      <c r="H36" s="70" cm="1">
        <f t="array" ref="H36">SUMPRODUCT(ABS('7'!$O57:$U57-'7'!$O$63:$U$63))</f>
        <v>3</v>
      </c>
      <c r="I36" s="70" cm="1">
        <f t="array" ref="I36">SUMPRODUCT(ABS('7'!$O57:$U57-'7'!$O$64:$U$64))</f>
        <v>4</v>
      </c>
      <c r="J36" s="70" cm="1">
        <f t="array" ref="J36">SUMPRODUCT(ABS('7'!$O57:$U57-'7'!$O$65:$U$65))</f>
        <v>3</v>
      </c>
      <c r="K36" s="70" cm="1">
        <f t="array" ref="K36">SUMPRODUCT(ABS('7'!$O57:$U57-'7'!$O$66:$U$66))</f>
        <v>4</v>
      </c>
      <c r="L36" s="70" cm="1">
        <f t="array" ref="L36">SUMPRODUCT(ABS('7'!$O57:$U57-'7'!$O$67:$U$67))</f>
        <v>3</v>
      </c>
      <c r="M36" s="70" cm="1">
        <f t="array" ref="M36">SUMPRODUCT(ABS('7'!$O57:$U57-'7'!$O$68:$U$68))</f>
        <v>4</v>
      </c>
      <c r="N36" s="70" cm="1">
        <f t="array" ref="N36">SUMPRODUCT(ABS('7'!$O57:$U57-'7'!$O$69:$U$69))</f>
        <v>4</v>
      </c>
      <c r="O36" s="70" cm="1">
        <f t="array" ref="O36">SUMPRODUCT(ABS('7'!$O57:$U57-'7'!$O$70:$U$70))</f>
        <v>3</v>
      </c>
      <c r="P36" s="70" cm="1">
        <f t="array" ref="P36">SUMPRODUCT(ABS('7'!$O57:$U57-'7'!$O$71:$U$71))</f>
        <v>4</v>
      </c>
      <c r="Q36" s="70" cm="1">
        <f t="array" ref="Q36">SUMPRODUCT(ABS('7'!$O57:$U57-'7'!$O$72:$U$72))</f>
        <v>7</v>
      </c>
    </row>
    <row r="37" spans="1:17" x14ac:dyDescent="0.35">
      <c r="A37" s="136">
        <v>1</v>
      </c>
      <c r="B37" s="70" cm="1">
        <f t="array" ref="B37">SUMPRODUCT(ABS('7'!O58:U58-'7'!$O$57:$U$57))</f>
        <v>3</v>
      </c>
      <c r="C37" s="134" cm="1">
        <f t="array" ref="C37">SUMPRODUCT(ABS('7'!$O58:$U58-'7'!$O$58:$U$58))</f>
        <v>0</v>
      </c>
      <c r="D37" s="70" cm="1">
        <f t="array" ref="D37">SUMPRODUCT(ABS('7'!$O58:$U58-'7'!$O$59:$U$59))</f>
        <v>3</v>
      </c>
      <c r="E37" s="70" cm="1">
        <f t="array" ref="E37">SUMPRODUCT(ABS('7'!$O58:$U58-'7'!$O$60:$U$60))</f>
        <v>4</v>
      </c>
      <c r="F37" s="70" cm="1">
        <f t="array" ref="F37">SUMPRODUCT(ABS('7'!$O58:$U58-'7'!$O$61:$U$61))</f>
        <v>4</v>
      </c>
      <c r="G37" s="70" cm="1">
        <f t="array" ref="G37">SUMPRODUCT(ABS('7'!$O58:$U58-'7'!$O$62:$U$62))</f>
        <v>3</v>
      </c>
      <c r="H37" s="70" cm="1">
        <f t="array" ref="H37">SUMPRODUCT(ABS('7'!$O58:$U58-'7'!$O$63:$U$63))</f>
        <v>4</v>
      </c>
      <c r="I37" s="70" cm="1">
        <f t="array" ref="I37">SUMPRODUCT(ABS('7'!$O58:$U58-'7'!$O$64:$U$64))</f>
        <v>3</v>
      </c>
      <c r="J37" s="70" cm="1">
        <f t="array" ref="J37">SUMPRODUCT(ABS('7'!$O58:$U58-'7'!$O$65:$U$65))</f>
        <v>4</v>
      </c>
      <c r="K37" s="70" cm="1">
        <f t="array" ref="K37">SUMPRODUCT(ABS('7'!$O58:$U58-'7'!$O$66:$U$66))</f>
        <v>3</v>
      </c>
      <c r="L37" s="70" cm="1">
        <f t="array" ref="L37">SUMPRODUCT(ABS('7'!$O58:$U58-'7'!$O$67:$U$67))</f>
        <v>4</v>
      </c>
      <c r="M37" s="70" cm="1">
        <f t="array" ref="M37">SUMPRODUCT(ABS('7'!$O58:$U58-'7'!$O$68:$U$68))</f>
        <v>3</v>
      </c>
      <c r="N37" s="70" cm="1">
        <f t="array" ref="N37">SUMPRODUCT(ABS('7'!$O58:$U58-'7'!$O$69:$U$69))</f>
        <v>3</v>
      </c>
      <c r="O37" s="70" cm="1">
        <f t="array" ref="O37">SUMPRODUCT(ABS('7'!$O58:$U58-'7'!$O$70:$U$70))</f>
        <v>4</v>
      </c>
      <c r="P37" s="70" cm="1">
        <f t="array" ref="P37">SUMPRODUCT(ABS('7'!$O58:$U58-'7'!$O$71:$U$71))</f>
        <v>7</v>
      </c>
      <c r="Q37" s="70" cm="1">
        <f t="array" ref="Q37">SUMPRODUCT(ABS('7'!$O58:$U58-'7'!$O$72:$U$72))</f>
        <v>4</v>
      </c>
    </row>
    <row r="38" spans="1:17" x14ac:dyDescent="0.35">
      <c r="A38" s="136">
        <v>2</v>
      </c>
      <c r="B38" s="70" cm="1">
        <f t="array" ref="B38">SUMPRODUCT(ABS('7'!O59:U59-'7'!$O$57:$U$57))</f>
        <v>4</v>
      </c>
      <c r="C38" s="70" cm="1">
        <f t="array" ref="C38">SUMPRODUCT(ABS('7'!$O59:$U59-'7'!$O$58:$U$58))</f>
        <v>3</v>
      </c>
      <c r="D38" s="134" cm="1">
        <f t="array" ref="D38">SUMPRODUCT(ABS('7'!$O59:$U59-'7'!$O$59:$U$59))</f>
        <v>0</v>
      </c>
      <c r="E38" s="70" cm="1">
        <f t="array" ref="E38">SUMPRODUCT(ABS('7'!$O59:$U59-'7'!$O$60:$U$60))</f>
        <v>3</v>
      </c>
      <c r="F38" s="70" cm="1">
        <f t="array" ref="F38">SUMPRODUCT(ABS('7'!$O59:$U59-'7'!$O$61:$U$61))</f>
        <v>3</v>
      </c>
      <c r="G38" s="70" cm="1">
        <f t="array" ref="G38">SUMPRODUCT(ABS('7'!$O59:$U59-'7'!$O$62:$U$62))</f>
        <v>4</v>
      </c>
      <c r="H38" s="70" cm="1">
        <f t="array" ref="H38">SUMPRODUCT(ABS('7'!$O59:$U59-'7'!$O$63:$U$63))</f>
        <v>3</v>
      </c>
      <c r="I38" s="70" cm="1">
        <f t="array" ref="I38">SUMPRODUCT(ABS('7'!$O59:$U59-'7'!$O$64:$U$64))</f>
        <v>4</v>
      </c>
      <c r="J38" s="70" cm="1">
        <f t="array" ref="J38">SUMPRODUCT(ABS('7'!$O59:$U59-'7'!$O$65:$U$65))</f>
        <v>3</v>
      </c>
      <c r="K38" s="70" cm="1">
        <f t="array" ref="K38">SUMPRODUCT(ABS('7'!$O59:$U59-'7'!$O$66:$U$66))</f>
        <v>4</v>
      </c>
      <c r="L38" s="70" cm="1">
        <f t="array" ref="L38">SUMPRODUCT(ABS('7'!$O59:$U59-'7'!$O$67:$U$67))</f>
        <v>3</v>
      </c>
      <c r="M38" s="70" cm="1">
        <f t="array" ref="M38">SUMPRODUCT(ABS('7'!$O59:$U59-'7'!$O$68:$U$68))</f>
        <v>4</v>
      </c>
      <c r="N38" s="70" cm="1">
        <f t="array" ref="N38">SUMPRODUCT(ABS('7'!$O59:$U59-'7'!$O$69:$U$69))</f>
        <v>4</v>
      </c>
      <c r="O38" s="70" cm="1">
        <f t="array" ref="O38">SUMPRODUCT(ABS('7'!$O59:$U59-'7'!$O$70:$U$70))</f>
        <v>7</v>
      </c>
      <c r="P38" s="70" cm="1">
        <f t="array" ref="P38">SUMPRODUCT(ABS('7'!$O59:$U59-'7'!$O$71:$U$71))</f>
        <v>4</v>
      </c>
      <c r="Q38" s="70" cm="1">
        <f t="array" ref="Q38">SUMPRODUCT(ABS('7'!$O59:$U59-'7'!$O$72:$U$72))</f>
        <v>3</v>
      </c>
    </row>
    <row r="39" spans="1:17" x14ac:dyDescent="0.35">
      <c r="A39" s="136">
        <v>3</v>
      </c>
      <c r="B39" s="70" cm="1">
        <f t="array" ref="B39">SUMPRODUCT(ABS('7'!O60:U60-'7'!$O$57:$U$57))</f>
        <v>3</v>
      </c>
      <c r="C39" s="70" cm="1">
        <f t="array" ref="C39">SUMPRODUCT(ABS('7'!$O60:$U60-'7'!$O$58:$U$58))</f>
        <v>4</v>
      </c>
      <c r="D39" s="70" cm="1">
        <f t="array" ref="D39">SUMPRODUCT(ABS('7'!$O60:$U60-'7'!$O$59:$U$59))</f>
        <v>3</v>
      </c>
      <c r="E39" s="134" cm="1">
        <f t="array" ref="E39">SUMPRODUCT(ABS('7'!$O60:$U60-'7'!$O$60:$U$60))</f>
        <v>0</v>
      </c>
      <c r="F39" s="70" cm="1">
        <f t="array" ref="F39">SUMPRODUCT(ABS('7'!$O60:$U60-'7'!$O$61:$U$61))</f>
        <v>4</v>
      </c>
      <c r="G39" s="70" cm="1">
        <f t="array" ref="G39">SUMPRODUCT(ABS('7'!$O60:$U60-'7'!$O$62:$U$62))</f>
        <v>3</v>
      </c>
      <c r="H39" s="70" cm="1">
        <f t="array" ref="H39">SUMPRODUCT(ABS('7'!$O60:$U60-'7'!$O$63:$U$63))</f>
        <v>4</v>
      </c>
      <c r="I39" s="70" cm="1">
        <f t="array" ref="I39">SUMPRODUCT(ABS('7'!$O60:$U60-'7'!$O$64:$U$64))</f>
        <v>3</v>
      </c>
      <c r="J39" s="70" cm="1">
        <f t="array" ref="J39">SUMPRODUCT(ABS('7'!$O60:$U60-'7'!$O$65:$U$65))</f>
        <v>4</v>
      </c>
      <c r="K39" s="70" cm="1">
        <f t="array" ref="K39">SUMPRODUCT(ABS('7'!$O60:$U60-'7'!$O$66:$U$66))</f>
        <v>3</v>
      </c>
      <c r="L39" s="70" cm="1">
        <f t="array" ref="L39">SUMPRODUCT(ABS('7'!$O60:$U60-'7'!$O$67:$U$67))</f>
        <v>4</v>
      </c>
      <c r="M39" s="70" cm="1">
        <f t="array" ref="M39">SUMPRODUCT(ABS('7'!$O60:$U60-'7'!$O$68:$U$68))</f>
        <v>3</v>
      </c>
      <c r="N39" s="70" cm="1">
        <f t="array" ref="N39">SUMPRODUCT(ABS('7'!$O60:$U60-'7'!$O$69:$U$69))</f>
        <v>7</v>
      </c>
      <c r="O39" s="70" cm="1">
        <f t="array" ref="O39">SUMPRODUCT(ABS('7'!$O60:$U60-'7'!$O$70:$U$70))</f>
        <v>4</v>
      </c>
      <c r="P39" s="70" cm="1">
        <f t="array" ref="P39">SUMPRODUCT(ABS('7'!$O60:$U60-'7'!$O$71:$U$71))</f>
        <v>3</v>
      </c>
      <c r="Q39" s="70" cm="1">
        <f t="array" ref="Q39">SUMPRODUCT(ABS('7'!$O60:$U60-'7'!$O$72:$U$72))</f>
        <v>4</v>
      </c>
    </row>
    <row r="40" spans="1:17" x14ac:dyDescent="0.35">
      <c r="A40" s="136">
        <v>4</v>
      </c>
      <c r="B40" s="70" cm="1">
        <f t="array" ref="B40">SUMPRODUCT(ABS('7'!O61:U61-'7'!$O$57:$U$57))</f>
        <v>3</v>
      </c>
      <c r="C40" s="70" cm="1">
        <f t="array" ref="C40">SUMPRODUCT(ABS('7'!$O61:$U61-'7'!$O$58:$U$58))</f>
        <v>4</v>
      </c>
      <c r="D40" s="70" cm="1">
        <f t="array" ref="D40">SUMPRODUCT(ABS('7'!$O61:$U61-'7'!$O$59:$U$59))</f>
        <v>3</v>
      </c>
      <c r="E40" s="70" cm="1">
        <f t="array" ref="E40">SUMPRODUCT(ABS('7'!$O61:$U61-'7'!$O$60:$U$60))</f>
        <v>4</v>
      </c>
      <c r="F40" s="134" cm="1">
        <f t="array" ref="F40">SUMPRODUCT(ABS('7'!$O61:$U61-'7'!$O$61:$U$61))</f>
        <v>0</v>
      </c>
      <c r="G40" s="70" cm="1">
        <f t="array" ref="G40">SUMPRODUCT(ABS('7'!$O61:$U61-'7'!$O$62:$U$62))</f>
        <v>3</v>
      </c>
      <c r="H40" s="70" cm="1">
        <f t="array" ref="H40">SUMPRODUCT(ABS('7'!$O61:$U61-'7'!$O$63:$U$63))</f>
        <v>4</v>
      </c>
      <c r="I40" s="70" cm="1">
        <f t="array" ref="I40">SUMPRODUCT(ABS('7'!$O61:$U61-'7'!$O$64:$U$64))</f>
        <v>3</v>
      </c>
      <c r="J40" s="70" cm="1">
        <f t="array" ref="J40">SUMPRODUCT(ABS('7'!$O61:$U61-'7'!$O$65:$U$65))</f>
        <v>4</v>
      </c>
      <c r="K40" s="70" cm="1">
        <f t="array" ref="K40">SUMPRODUCT(ABS('7'!$O61:$U61-'7'!$O$66:$U$66))</f>
        <v>3</v>
      </c>
      <c r="L40" s="70" cm="1">
        <f t="array" ref="L40">SUMPRODUCT(ABS('7'!$O61:$U61-'7'!$O$67:$U$67))</f>
        <v>4</v>
      </c>
      <c r="M40" s="70" cm="1">
        <f t="array" ref="M40">SUMPRODUCT(ABS('7'!$O61:$U61-'7'!$O$68:$U$68))</f>
        <v>7</v>
      </c>
      <c r="N40" s="70" cm="1">
        <f t="array" ref="N40">SUMPRODUCT(ABS('7'!$O61:$U61-'7'!$O$69:$U$69))</f>
        <v>3</v>
      </c>
      <c r="O40" s="70" cm="1">
        <f t="array" ref="O40">SUMPRODUCT(ABS('7'!$O61:$U61-'7'!$O$70:$U$70))</f>
        <v>4</v>
      </c>
      <c r="P40" s="70" cm="1">
        <f t="array" ref="P40">SUMPRODUCT(ABS('7'!$O61:$U61-'7'!$O$71:$U$71))</f>
        <v>3</v>
      </c>
      <c r="Q40" s="70" cm="1">
        <f t="array" ref="Q40">SUMPRODUCT(ABS('7'!$O61:$U61-'7'!$O$72:$U$72))</f>
        <v>4</v>
      </c>
    </row>
    <row r="41" spans="1:17" x14ac:dyDescent="0.35">
      <c r="A41" s="136">
        <v>5</v>
      </c>
      <c r="B41" s="70" cm="1">
        <f t="array" ref="B41">SUMPRODUCT(ABS('7'!O62:U62-'7'!$O$57:$U$57))</f>
        <v>4</v>
      </c>
      <c r="C41" s="70" cm="1">
        <f t="array" ref="C41">SUMPRODUCT(ABS('7'!$O62:$U62-'7'!$O$58:$U$58))</f>
        <v>3</v>
      </c>
      <c r="D41" s="70" cm="1">
        <f t="array" ref="D41">SUMPRODUCT(ABS('7'!$O62:$U62-'7'!$O$59:$U$59))</f>
        <v>4</v>
      </c>
      <c r="E41" s="70" cm="1">
        <f t="array" ref="E41">SUMPRODUCT(ABS('7'!$O62:$U62-'7'!$O$60:$U$60))</f>
        <v>3</v>
      </c>
      <c r="F41" s="70" cm="1">
        <f t="array" ref="F41">SUMPRODUCT(ABS('7'!$O62:$U62-'7'!$O$61:$U$61))</f>
        <v>3</v>
      </c>
      <c r="G41" s="134" cm="1">
        <f t="array" ref="G41">SUMPRODUCT(ABS('7'!$O62:$U62-'7'!$O$62:$U$62))</f>
        <v>0</v>
      </c>
      <c r="H41" s="70" cm="1">
        <f t="array" ref="H41">SUMPRODUCT(ABS('7'!$O62:$U62-'7'!$O$63:$U$63))</f>
        <v>3</v>
      </c>
      <c r="I41" s="70" cm="1">
        <f t="array" ref="I41">SUMPRODUCT(ABS('7'!$O62:$U62-'7'!$O$64:$U$64))</f>
        <v>4</v>
      </c>
      <c r="J41" s="70" cm="1">
        <f t="array" ref="J41">SUMPRODUCT(ABS('7'!$O62:$U62-'7'!$O$65:$U$65))</f>
        <v>3</v>
      </c>
      <c r="K41" s="70" cm="1">
        <f t="array" ref="K41">SUMPRODUCT(ABS('7'!$O62:$U62-'7'!$O$66:$U$66))</f>
        <v>4</v>
      </c>
      <c r="L41" s="70" cm="1">
        <f t="array" ref="L41">SUMPRODUCT(ABS('7'!$O62:$U62-'7'!$O$67:$U$67))</f>
        <v>7</v>
      </c>
      <c r="M41" s="70" cm="1">
        <f t="array" ref="M41">SUMPRODUCT(ABS('7'!$O62:$U62-'7'!$O$68:$U$68))</f>
        <v>4</v>
      </c>
      <c r="N41" s="70" cm="1">
        <f t="array" ref="N41">SUMPRODUCT(ABS('7'!$O62:$U62-'7'!$O$69:$U$69))</f>
        <v>4</v>
      </c>
      <c r="O41" s="70" cm="1">
        <f t="array" ref="O41">SUMPRODUCT(ABS('7'!$O62:$U62-'7'!$O$70:$U$70))</f>
        <v>3</v>
      </c>
      <c r="P41" s="70" cm="1">
        <f t="array" ref="P41">SUMPRODUCT(ABS('7'!$O62:$U62-'7'!$O$71:$U$71))</f>
        <v>4</v>
      </c>
      <c r="Q41" s="70" cm="1">
        <f t="array" ref="Q41">SUMPRODUCT(ABS('7'!$O62:$U62-'7'!$O$72:$U$72))</f>
        <v>3</v>
      </c>
    </row>
    <row r="42" spans="1:17" x14ac:dyDescent="0.35">
      <c r="A42" s="136">
        <v>6</v>
      </c>
      <c r="B42" s="70" cm="1">
        <f t="array" ref="B42">SUMPRODUCT(ABS('7'!O63:U63-'7'!$O$57:$U$57))</f>
        <v>3</v>
      </c>
      <c r="C42" s="70" cm="1">
        <f t="array" ref="C42">SUMPRODUCT(ABS('7'!$O63:$U63-'7'!$O$58:$U$58))</f>
        <v>4</v>
      </c>
      <c r="D42" s="70" cm="1">
        <f t="array" ref="D42">SUMPRODUCT(ABS('7'!$O63:$U63-'7'!$O$59:$U$59))</f>
        <v>3</v>
      </c>
      <c r="E42" s="70" cm="1">
        <f t="array" ref="E42">SUMPRODUCT(ABS('7'!$O63:$U63-'7'!$O$60:$U$60))</f>
        <v>4</v>
      </c>
      <c r="F42" s="70" cm="1">
        <f t="array" ref="F42">SUMPRODUCT(ABS('7'!$O63:$U63-'7'!$O$61:$U$61))</f>
        <v>4</v>
      </c>
      <c r="G42" s="70" cm="1">
        <f t="array" ref="G42">SUMPRODUCT(ABS('7'!$O63:$U63-'7'!$O$62:$U$62))</f>
        <v>3</v>
      </c>
      <c r="H42" s="134" cm="1">
        <f t="array" ref="H42">SUMPRODUCT(ABS('7'!$O63:$U63-'7'!$O$63:$U$63))</f>
        <v>0</v>
      </c>
      <c r="I42" s="70" cm="1">
        <f t="array" ref="I42">SUMPRODUCT(ABS('7'!$O63:$U63-'7'!$O$64:$U$64))</f>
        <v>3</v>
      </c>
      <c r="J42" s="70" cm="1">
        <f t="array" ref="J42">SUMPRODUCT(ABS('7'!$O63:$U63-'7'!$O$65:$U$65))</f>
        <v>4</v>
      </c>
      <c r="K42" s="70" cm="1">
        <f t="array" ref="K42">SUMPRODUCT(ABS('7'!$O63:$U63-'7'!$O$66:$U$66))</f>
        <v>7</v>
      </c>
      <c r="L42" s="70" cm="1">
        <f t="array" ref="L42">SUMPRODUCT(ABS('7'!$O63:$U63-'7'!$O$67:$U$67))</f>
        <v>4</v>
      </c>
      <c r="M42" s="70" cm="1">
        <f t="array" ref="M42">SUMPRODUCT(ABS('7'!$O63:$U63-'7'!$O$68:$U$68))</f>
        <v>3</v>
      </c>
      <c r="N42" s="70" cm="1">
        <f t="array" ref="N42">SUMPRODUCT(ABS('7'!$O63:$U63-'7'!$O$69:$U$69))</f>
        <v>3</v>
      </c>
      <c r="O42" s="70" cm="1">
        <f t="array" ref="O42">SUMPRODUCT(ABS('7'!$O63:$U63-'7'!$O$70:$U$70))</f>
        <v>4</v>
      </c>
      <c r="P42" s="70" cm="1">
        <f t="array" ref="P42">SUMPRODUCT(ABS('7'!$O63:$U63-'7'!$O$71:$U$71))</f>
        <v>3</v>
      </c>
      <c r="Q42" s="70" cm="1">
        <f t="array" ref="Q42">SUMPRODUCT(ABS('7'!$O63:$U63-'7'!$O$72:$U$72))</f>
        <v>4</v>
      </c>
    </row>
    <row r="43" spans="1:17" x14ac:dyDescent="0.35">
      <c r="A43" s="136">
        <v>7</v>
      </c>
      <c r="B43" s="70" cm="1">
        <f t="array" ref="B43">SUMPRODUCT(ABS('7'!O64:U64-'7'!$O$57:$U$57))</f>
        <v>4</v>
      </c>
      <c r="C43" s="70" cm="1">
        <f t="array" ref="C43">SUMPRODUCT(ABS('7'!$O64:$U64-'7'!$O$58:$U$58))</f>
        <v>3</v>
      </c>
      <c r="D43" s="70" cm="1">
        <f t="array" ref="D43">SUMPRODUCT(ABS('7'!$O64:$U64-'7'!$O$59:$U$59))</f>
        <v>4</v>
      </c>
      <c r="E43" s="70" cm="1">
        <f t="array" ref="E43">SUMPRODUCT(ABS('7'!$O64:$U64-'7'!$O$60:$U$60))</f>
        <v>3</v>
      </c>
      <c r="F43" s="70" cm="1">
        <f t="array" ref="F43">SUMPRODUCT(ABS('7'!$O64:$U64-'7'!$O$61:$U$61))</f>
        <v>3</v>
      </c>
      <c r="G43" s="70" cm="1">
        <f t="array" ref="G43">SUMPRODUCT(ABS('7'!$O64:$U64-'7'!$O$62:$U$62))</f>
        <v>4</v>
      </c>
      <c r="H43" s="70" cm="1">
        <f t="array" ref="H43">SUMPRODUCT(ABS('7'!$O64:$U64-'7'!$O$63:$U$63))</f>
        <v>3</v>
      </c>
      <c r="I43" s="134" cm="1">
        <f t="array" ref="I43">SUMPRODUCT(ABS('7'!$O64:$U64-'7'!$O$64:$U$64))</f>
        <v>0</v>
      </c>
      <c r="J43" s="70" cm="1">
        <f t="array" ref="J43">SUMPRODUCT(ABS('7'!$O64:$U64-'7'!$O$65:$U$65))</f>
        <v>7</v>
      </c>
      <c r="K43" s="70" cm="1">
        <f t="array" ref="K43">SUMPRODUCT(ABS('7'!$O64:$U64-'7'!$O$66:$U$66))</f>
        <v>4</v>
      </c>
      <c r="L43" s="70" cm="1">
        <f t="array" ref="L43">SUMPRODUCT(ABS('7'!$O64:$U64-'7'!$O$67:$U$67))</f>
        <v>3</v>
      </c>
      <c r="M43" s="70" cm="1">
        <f t="array" ref="M43">SUMPRODUCT(ABS('7'!$O64:$U64-'7'!$O$68:$U$68))</f>
        <v>4</v>
      </c>
      <c r="N43" s="70" cm="1">
        <f t="array" ref="N43">SUMPRODUCT(ABS('7'!$O64:$U64-'7'!$O$69:$U$69))</f>
        <v>4</v>
      </c>
      <c r="O43" s="70" cm="1">
        <f t="array" ref="O43">SUMPRODUCT(ABS('7'!$O64:$U64-'7'!$O$70:$U$70))</f>
        <v>3</v>
      </c>
      <c r="P43" s="70" cm="1">
        <f t="array" ref="P43">SUMPRODUCT(ABS('7'!$O64:$U64-'7'!$O$71:$U$71))</f>
        <v>4</v>
      </c>
      <c r="Q43" s="70" cm="1">
        <f t="array" ref="Q43">SUMPRODUCT(ABS('7'!$O64:$U64-'7'!$O$72:$U$72))</f>
        <v>3</v>
      </c>
    </row>
    <row r="44" spans="1:17" x14ac:dyDescent="0.35">
      <c r="A44" s="136">
        <v>8</v>
      </c>
      <c r="B44" s="70" cm="1">
        <f t="array" ref="B44">SUMPRODUCT(ABS('7'!O65:U65-'7'!$O$57:$U$57))</f>
        <v>3</v>
      </c>
      <c r="C44" s="70" cm="1">
        <f t="array" ref="C44">SUMPRODUCT(ABS('7'!$O65:$U65-'7'!$O$58:$U$58))</f>
        <v>4</v>
      </c>
      <c r="D44" s="70" cm="1">
        <f t="array" ref="D44">SUMPRODUCT(ABS('7'!$O65:$U65-'7'!$O$59:$U$59))</f>
        <v>3</v>
      </c>
      <c r="E44" s="70" cm="1">
        <f t="array" ref="E44">SUMPRODUCT(ABS('7'!$O65:$U65-'7'!$O$60:$U$60))</f>
        <v>4</v>
      </c>
      <c r="F44" s="70" cm="1">
        <f t="array" ref="F44">SUMPRODUCT(ABS('7'!$O65:$U65-'7'!$O$61:$U$61))</f>
        <v>4</v>
      </c>
      <c r="G44" s="70" cm="1">
        <f t="array" ref="G44">SUMPRODUCT(ABS('7'!$O65:$U65-'7'!$O$62:$U$62))</f>
        <v>3</v>
      </c>
      <c r="H44" s="70" cm="1">
        <f t="array" ref="H44">SUMPRODUCT(ABS('7'!$O65:$U65-'7'!$O$63:$U$63))</f>
        <v>4</v>
      </c>
      <c r="I44" s="70" cm="1">
        <f t="array" ref="I44">SUMPRODUCT(ABS('7'!$O65:$U65-'7'!$O$64:$U$64))</f>
        <v>7</v>
      </c>
      <c r="J44" s="134" cm="1">
        <f t="array" ref="J44">SUMPRODUCT(ABS('7'!$O65:$U65-'7'!$O$65:$U$65))</f>
        <v>0</v>
      </c>
      <c r="K44" s="70" cm="1">
        <f t="array" ref="K44">SUMPRODUCT(ABS('7'!$O65:$U65-'7'!$O$66:$U$66))</f>
        <v>3</v>
      </c>
      <c r="L44" s="70" cm="1">
        <f t="array" ref="L44">SUMPRODUCT(ABS('7'!$O65:$U65-'7'!$O$67:$U$67))</f>
        <v>4</v>
      </c>
      <c r="M44" s="70" cm="1">
        <f t="array" ref="M44">SUMPRODUCT(ABS('7'!$O65:$U65-'7'!$O$68:$U$68))</f>
        <v>3</v>
      </c>
      <c r="N44" s="70" cm="1">
        <f t="array" ref="N44">SUMPRODUCT(ABS('7'!$O65:$U65-'7'!$O$69:$U$69))</f>
        <v>3</v>
      </c>
      <c r="O44" s="70" cm="1">
        <f t="array" ref="O44">SUMPRODUCT(ABS('7'!$O65:$U65-'7'!$O$70:$U$70))</f>
        <v>4</v>
      </c>
      <c r="P44" s="70" cm="1">
        <f t="array" ref="P44">SUMPRODUCT(ABS('7'!$O65:$U65-'7'!$O$71:$U$71))</f>
        <v>3</v>
      </c>
      <c r="Q44" s="70" cm="1">
        <f t="array" ref="Q44">SUMPRODUCT(ABS('7'!$O65:$U65-'7'!$O$72:$U$72))</f>
        <v>4</v>
      </c>
    </row>
    <row r="45" spans="1:17" x14ac:dyDescent="0.35">
      <c r="A45" s="136">
        <v>9</v>
      </c>
      <c r="B45" s="70" cm="1">
        <f t="array" ref="B45">SUMPRODUCT(ABS('7'!O66:U66-'7'!$O$57:$U$57))</f>
        <v>4</v>
      </c>
      <c r="C45" s="70" cm="1">
        <f t="array" ref="C45">SUMPRODUCT(ABS('7'!$O66:$U66-'7'!$O$58:$U$58))</f>
        <v>3</v>
      </c>
      <c r="D45" s="70" cm="1">
        <f t="array" ref="D45">SUMPRODUCT(ABS('7'!$O66:$U66-'7'!$O$59:$U$59))</f>
        <v>4</v>
      </c>
      <c r="E45" s="70" cm="1">
        <f t="array" ref="E45">SUMPRODUCT(ABS('7'!$O66:$U66-'7'!$O$60:$U$60))</f>
        <v>3</v>
      </c>
      <c r="F45" s="70" cm="1">
        <f t="array" ref="F45">SUMPRODUCT(ABS('7'!$O66:$U66-'7'!$O$61:$U$61))</f>
        <v>3</v>
      </c>
      <c r="G45" s="70" cm="1">
        <f t="array" ref="G45">SUMPRODUCT(ABS('7'!$O66:$U66-'7'!$O$62:$U$62))</f>
        <v>4</v>
      </c>
      <c r="H45" s="70" cm="1">
        <f t="array" ref="H45">SUMPRODUCT(ABS('7'!$O66:$U66-'7'!$O$63:$U$63))</f>
        <v>7</v>
      </c>
      <c r="I45" s="70" cm="1">
        <f t="array" ref="I45">SUMPRODUCT(ABS('7'!$O66:$U66-'7'!$O$64:$U$64))</f>
        <v>4</v>
      </c>
      <c r="J45" s="70" cm="1">
        <f t="array" ref="J45">SUMPRODUCT(ABS('7'!$O66:$U66-'7'!$O$65:$U$65))</f>
        <v>3</v>
      </c>
      <c r="K45" s="134" cm="1">
        <f t="array" ref="K45">SUMPRODUCT(ABS('7'!$O66:$U66-'7'!$O$66:$U$66))</f>
        <v>0</v>
      </c>
      <c r="L45" s="70" cm="1">
        <f t="array" ref="L45">SUMPRODUCT(ABS('7'!$O66:$U66-'7'!$O$67:$U$67))</f>
        <v>3</v>
      </c>
      <c r="M45" s="70" cm="1">
        <f t="array" ref="M45">SUMPRODUCT(ABS('7'!$O66:$U66-'7'!$O$68:$U$68))</f>
        <v>4</v>
      </c>
      <c r="N45" s="70" cm="1">
        <f t="array" ref="N45">SUMPRODUCT(ABS('7'!$O66:$U66-'7'!$O$69:$U$69))</f>
        <v>4</v>
      </c>
      <c r="O45" s="70" cm="1">
        <f t="array" ref="O45">SUMPRODUCT(ABS('7'!$O66:$U66-'7'!$O$70:$U$70))</f>
        <v>3</v>
      </c>
      <c r="P45" s="70" cm="1">
        <f t="array" ref="P45">SUMPRODUCT(ABS('7'!$O66:$U66-'7'!$O$71:$U$71))</f>
        <v>4</v>
      </c>
      <c r="Q45" s="70" cm="1">
        <f t="array" ref="Q45">SUMPRODUCT(ABS('7'!$O66:$U66-'7'!$O$72:$U$72))</f>
        <v>3</v>
      </c>
    </row>
    <row r="46" spans="1:17" x14ac:dyDescent="0.35">
      <c r="A46" s="136">
        <v>10</v>
      </c>
      <c r="B46" s="70" cm="1">
        <f t="array" ref="B46">SUMPRODUCT(ABS('7'!O67:U67-'7'!$O$57:$U$57))</f>
        <v>3</v>
      </c>
      <c r="C46" s="70" cm="1">
        <f t="array" ref="C46">SUMPRODUCT(ABS('7'!$O67:$U67-'7'!$O$58:$U$58))</f>
        <v>4</v>
      </c>
      <c r="D46" s="70" cm="1">
        <f t="array" ref="D46">SUMPRODUCT(ABS('7'!$O67:$U67-'7'!$O$59:$U$59))</f>
        <v>3</v>
      </c>
      <c r="E46" s="70" cm="1">
        <f t="array" ref="E46">SUMPRODUCT(ABS('7'!$O67:$U67-'7'!$O$60:$U$60))</f>
        <v>4</v>
      </c>
      <c r="F46" s="70" cm="1">
        <f t="array" ref="F46">SUMPRODUCT(ABS('7'!$O67:$U67-'7'!$O$61:$U$61))</f>
        <v>4</v>
      </c>
      <c r="G46" s="70" cm="1">
        <f t="array" ref="G46">SUMPRODUCT(ABS('7'!$O67:$U67-'7'!$O$62:$U$62))</f>
        <v>7</v>
      </c>
      <c r="H46" s="70" cm="1">
        <f t="array" ref="H46">SUMPRODUCT(ABS('7'!$O67:$U67-'7'!$O$63:$U$63))</f>
        <v>4</v>
      </c>
      <c r="I46" s="70" cm="1">
        <f t="array" ref="I46">SUMPRODUCT(ABS('7'!$O67:$U67-'7'!$O$64:$U$64))</f>
        <v>3</v>
      </c>
      <c r="J46" s="70" cm="1">
        <f t="array" ref="J46">SUMPRODUCT(ABS('7'!$O67:$U67-'7'!$O$65:$U$65))</f>
        <v>4</v>
      </c>
      <c r="K46" s="70" cm="1">
        <f t="array" ref="K46">SUMPRODUCT(ABS('7'!$O67:$U67-'7'!$O$66:$U$66))</f>
        <v>3</v>
      </c>
      <c r="L46" s="134" cm="1">
        <f t="array" ref="L46">SUMPRODUCT(ABS('7'!$O67:$U67-'7'!$O$67:$U$67))</f>
        <v>0</v>
      </c>
      <c r="M46" s="70" cm="1">
        <f t="array" ref="M46">SUMPRODUCT(ABS('7'!$O67:$U67-'7'!$O$68:$U$68))</f>
        <v>3</v>
      </c>
      <c r="N46" s="70" cm="1">
        <f t="array" ref="N46">SUMPRODUCT(ABS('7'!$O67:$U67-'7'!$O$69:$U$69))</f>
        <v>3</v>
      </c>
      <c r="O46" s="70" cm="1">
        <f t="array" ref="O46">SUMPRODUCT(ABS('7'!$O67:$U67-'7'!$O$70:$U$70))</f>
        <v>4</v>
      </c>
      <c r="P46" s="70" cm="1">
        <f t="array" ref="P46">SUMPRODUCT(ABS('7'!$O67:$U67-'7'!$O$71:$U$71))</f>
        <v>3</v>
      </c>
      <c r="Q46" s="70" cm="1">
        <f t="array" ref="Q46">SUMPRODUCT(ABS('7'!$O67:$U67-'7'!$O$72:$U$72))</f>
        <v>4</v>
      </c>
    </row>
    <row r="47" spans="1:17" x14ac:dyDescent="0.35">
      <c r="A47" s="136">
        <v>11</v>
      </c>
      <c r="B47" s="70" cm="1">
        <f t="array" ref="B47">SUMPRODUCT(ABS('7'!O68:U68-'7'!$O$57:$U$57))</f>
        <v>4</v>
      </c>
      <c r="C47" s="70" cm="1">
        <f t="array" ref="C47">SUMPRODUCT(ABS('7'!$O68:$U68-'7'!$O$58:$U$58))</f>
        <v>3</v>
      </c>
      <c r="D47" s="70" cm="1">
        <f t="array" ref="D47">SUMPRODUCT(ABS('7'!$O68:$U68-'7'!$O$59:$U$59))</f>
        <v>4</v>
      </c>
      <c r="E47" s="70" cm="1">
        <f t="array" ref="E47">SUMPRODUCT(ABS('7'!$O68:$U68-'7'!$O$60:$U$60))</f>
        <v>3</v>
      </c>
      <c r="F47" s="70" cm="1">
        <f t="array" ref="F47">SUMPRODUCT(ABS('7'!$O68:$U68-'7'!$O$61:$U$61))</f>
        <v>7</v>
      </c>
      <c r="G47" s="70" cm="1">
        <f t="array" ref="G47">SUMPRODUCT(ABS('7'!$O68:$U68-'7'!$O$62:$U$62))</f>
        <v>4</v>
      </c>
      <c r="H47" s="70" cm="1">
        <f t="array" ref="H47">SUMPRODUCT(ABS('7'!$O68:$U68-'7'!$O$63:$U$63))</f>
        <v>3</v>
      </c>
      <c r="I47" s="70" cm="1">
        <f t="array" ref="I47">SUMPRODUCT(ABS('7'!$O68:$U68-'7'!$O$64:$U$64))</f>
        <v>4</v>
      </c>
      <c r="J47" s="70" cm="1">
        <f t="array" ref="J47">SUMPRODUCT(ABS('7'!$O68:$U68-'7'!$O$65:$U$65))</f>
        <v>3</v>
      </c>
      <c r="K47" s="70" cm="1">
        <f t="array" ref="K47">SUMPRODUCT(ABS('7'!$O68:$U68-'7'!$O$66:$U$66))</f>
        <v>4</v>
      </c>
      <c r="L47" s="70" cm="1">
        <f t="array" ref="L47">SUMPRODUCT(ABS('7'!$O68:$U68-'7'!$O$67:$U$67))</f>
        <v>3</v>
      </c>
      <c r="M47" s="134" cm="1">
        <f t="array" ref="M47">SUMPRODUCT(ABS('7'!$O68:$U68-'7'!$O$68:$U$68))</f>
        <v>0</v>
      </c>
      <c r="N47" s="70" cm="1">
        <f t="array" ref="N47">SUMPRODUCT(ABS('7'!$O68:$U68-'7'!$O$69:$U$69))</f>
        <v>4</v>
      </c>
      <c r="O47" s="70" cm="1">
        <f t="array" ref="O47">SUMPRODUCT(ABS('7'!$O68:$U68-'7'!$O$70:$U$70))</f>
        <v>3</v>
      </c>
      <c r="P47" s="70" cm="1">
        <f t="array" ref="P47">SUMPRODUCT(ABS('7'!$O68:$U68-'7'!$O$71:$U$71))</f>
        <v>4</v>
      </c>
      <c r="Q47" s="70" cm="1">
        <f t="array" ref="Q47">SUMPRODUCT(ABS('7'!$O68:$U68-'7'!$O$72:$U$72))</f>
        <v>3</v>
      </c>
    </row>
    <row r="48" spans="1:17" x14ac:dyDescent="0.35">
      <c r="A48" s="136">
        <v>12</v>
      </c>
      <c r="B48" s="70" cm="1">
        <f t="array" ref="B48">SUMPRODUCT(ABS('7'!O69:U69-'7'!$O$57:$U$57))</f>
        <v>4</v>
      </c>
      <c r="C48" s="70" cm="1">
        <f t="array" ref="C48">SUMPRODUCT(ABS('7'!$O69:$U69-'7'!$O$58:$U$58))</f>
        <v>3</v>
      </c>
      <c r="D48" s="70" cm="1">
        <f t="array" ref="D48">SUMPRODUCT(ABS('7'!$O69:$U69-'7'!$O$59:$U$59))</f>
        <v>4</v>
      </c>
      <c r="E48" s="70" cm="1">
        <f t="array" ref="E48">SUMPRODUCT(ABS('7'!$O69:$U69-'7'!$O$60:$U$60))</f>
        <v>7</v>
      </c>
      <c r="F48" s="70" cm="1">
        <f t="array" ref="F48">SUMPRODUCT(ABS('7'!$O69:$U69-'7'!$O$61:$U$61))</f>
        <v>3</v>
      </c>
      <c r="G48" s="70" cm="1">
        <f t="array" ref="G48">SUMPRODUCT(ABS('7'!$O69:$U69-'7'!$O$62:$U$62))</f>
        <v>4</v>
      </c>
      <c r="H48" s="70" cm="1">
        <f t="array" ref="H48">SUMPRODUCT(ABS('7'!$O69:$U69-'7'!$O$63:$U$63))</f>
        <v>3</v>
      </c>
      <c r="I48" s="70" cm="1">
        <f t="array" ref="I48">SUMPRODUCT(ABS('7'!$O69:$U69-'7'!$O$64:$U$64))</f>
        <v>4</v>
      </c>
      <c r="J48" s="70" cm="1">
        <f t="array" ref="J48">SUMPRODUCT(ABS('7'!$O69:$U69-'7'!$O$65:$U$65))</f>
        <v>3</v>
      </c>
      <c r="K48" s="70" cm="1">
        <f t="array" ref="K48">SUMPRODUCT(ABS('7'!$O69:$U69-'7'!$O$66:$U$66))</f>
        <v>4</v>
      </c>
      <c r="L48" s="70" cm="1">
        <f t="array" ref="L48">SUMPRODUCT(ABS('7'!$O69:$U69-'7'!$O$67:$U$67))</f>
        <v>3</v>
      </c>
      <c r="M48" s="70" cm="1">
        <f t="array" ref="M48">SUMPRODUCT(ABS('7'!$O69:$U69-'7'!$O$68:$U$68))</f>
        <v>4</v>
      </c>
      <c r="N48" s="134" cm="1">
        <f t="array" ref="N48">SUMPRODUCT(ABS('7'!$O69:$U69-'7'!$O$69:$U$69))</f>
        <v>0</v>
      </c>
      <c r="O48" s="70" cm="1">
        <f t="array" ref="O48">SUMPRODUCT(ABS('7'!$O69:$U69-'7'!$O$70:$U$70))</f>
        <v>3</v>
      </c>
      <c r="P48" s="70" cm="1">
        <f t="array" ref="P48">SUMPRODUCT(ABS('7'!$O69:$U69-'7'!$O$71:$U$71))</f>
        <v>4</v>
      </c>
      <c r="Q48" s="70" cm="1">
        <f t="array" ref="Q48">SUMPRODUCT(ABS('7'!$O69:$U69-'7'!$O$72:$U$72))</f>
        <v>3</v>
      </c>
    </row>
    <row r="49" spans="1:17" x14ac:dyDescent="0.35">
      <c r="A49" s="136">
        <v>13</v>
      </c>
      <c r="B49" s="70" cm="1">
        <f t="array" ref="B49">SUMPRODUCT(ABS('7'!O70:U70-'7'!$O$57:$U$57))</f>
        <v>3</v>
      </c>
      <c r="C49" s="70" cm="1">
        <f t="array" ref="C49">SUMPRODUCT(ABS('7'!$O70:$U70-'7'!$O$58:$U$58))</f>
        <v>4</v>
      </c>
      <c r="D49" s="70" cm="1">
        <f t="array" ref="D49">SUMPRODUCT(ABS('7'!$O70:$U70-'7'!$O$59:$U$59))</f>
        <v>7</v>
      </c>
      <c r="E49" s="70" cm="1">
        <f t="array" ref="E49">SUMPRODUCT(ABS('7'!$O70:$U70-'7'!$O$60:$U$60))</f>
        <v>4</v>
      </c>
      <c r="F49" s="70" cm="1">
        <f t="array" ref="F49">SUMPRODUCT(ABS('7'!$O70:$U70-'7'!$O$61:$U$61))</f>
        <v>4</v>
      </c>
      <c r="G49" s="70" cm="1">
        <f t="array" ref="G49">SUMPRODUCT(ABS('7'!$O70:$U70-'7'!$O$62:$U$62))</f>
        <v>3</v>
      </c>
      <c r="H49" s="70" cm="1">
        <f t="array" ref="H49">SUMPRODUCT(ABS('7'!$O70:$U70-'7'!$O$63:$U$63))</f>
        <v>4</v>
      </c>
      <c r="I49" s="70" cm="1">
        <f t="array" ref="I49">SUMPRODUCT(ABS('7'!$O70:$U70-'7'!$O$64:$U$64))</f>
        <v>3</v>
      </c>
      <c r="J49" s="70" cm="1">
        <f t="array" ref="J49">SUMPRODUCT(ABS('7'!$O70:$U70-'7'!$O$65:$U$65))</f>
        <v>4</v>
      </c>
      <c r="K49" s="70" cm="1">
        <f t="array" ref="K49">SUMPRODUCT(ABS('7'!$O70:$U70-'7'!$O$66:$U$66))</f>
        <v>3</v>
      </c>
      <c r="L49" s="70" cm="1">
        <f t="array" ref="L49">SUMPRODUCT(ABS('7'!$O70:$U70-'7'!$O$67:$U$67))</f>
        <v>4</v>
      </c>
      <c r="M49" s="70" cm="1">
        <f t="array" ref="M49">SUMPRODUCT(ABS('7'!$O70:$U70-'7'!$O$68:$U$68))</f>
        <v>3</v>
      </c>
      <c r="N49" s="70" cm="1">
        <f t="array" ref="N49">SUMPRODUCT(ABS('7'!$O70:$U70-'7'!$O$69:$U$69))</f>
        <v>3</v>
      </c>
      <c r="O49" s="134" cm="1">
        <f t="array" ref="O49">SUMPRODUCT(ABS('7'!$O70:$U70-'7'!$O$70:$U$70))</f>
        <v>0</v>
      </c>
      <c r="P49" s="70" cm="1">
        <f t="array" ref="P49">SUMPRODUCT(ABS('7'!$O70:$U70-'7'!$O$71:$U$71))</f>
        <v>3</v>
      </c>
      <c r="Q49" s="70" cm="1">
        <f t="array" ref="Q49">SUMPRODUCT(ABS('7'!$O70:$U70-'7'!$O$72:$U$72))</f>
        <v>4</v>
      </c>
    </row>
    <row r="50" spans="1:17" x14ac:dyDescent="0.35">
      <c r="A50" s="136">
        <v>14</v>
      </c>
      <c r="B50" s="70" cm="1">
        <f t="array" ref="B50">SUMPRODUCT(ABS('7'!O71:U71-'7'!$O$57:$U$57))</f>
        <v>4</v>
      </c>
      <c r="C50" s="70" cm="1">
        <f t="array" ref="C50">SUMPRODUCT(ABS('7'!$O71:$U71-'7'!$O$58:$U$58))</f>
        <v>7</v>
      </c>
      <c r="D50" s="70" cm="1">
        <f t="array" ref="D50">SUMPRODUCT(ABS('7'!$O71:$U71-'7'!$O$59:$U$59))</f>
        <v>4</v>
      </c>
      <c r="E50" s="70" cm="1">
        <f t="array" ref="E50">SUMPRODUCT(ABS('7'!$O71:$U71-'7'!$O$60:$U$60))</f>
        <v>3</v>
      </c>
      <c r="F50" s="70" cm="1">
        <f t="array" ref="F50">SUMPRODUCT(ABS('7'!$O71:$U71-'7'!$O$61:$U$61))</f>
        <v>3</v>
      </c>
      <c r="G50" s="70" cm="1">
        <f t="array" ref="G50">SUMPRODUCT(ABS('7'!$O71:$U71-'7'!$O$62:$U$62))</f>
        <v>4</v>
      </c>
      <c r="H50" s="70" cm="1">
        <f t="array" ref="H50">SUMPRODUCT(ABS('7'!$O71:$U71-'7'!$O$63:$U$63))</f>
        <v>3</v>
      </c>
      <c r="I50" s="70" cm="1">
        <f t="array" ref="I50">SUMPRODUCT(ABS('7'!$O71:$U71-'7'!$O$64:$U$64))</f>
        <v>4</v>
      </c>
      <c r="J50" s="70" cm="1">
        <f t="array" ref="J50">SUMPRODUCT(ABS('7'!$O71:$U71-'7'!$O$65:$U$65))</f>
        <v>3</v>
      </c>
      <c r="K50" s="70" cm="1">
        <f t="array" ref="K50">SUMPRODUCT(ABS('7'!$O71:$U71-'7'!$O$66:$U$66))</f>
        <v>4</v>
      </c>
      <c r="L50" s="70" cm="1">
        <f t="array" ref="L50">SUMPRODUCT(ABS('7'!$O71:$U71-'7'!$O$67:$U$67))</f>
        <v>3</v>
      </c>
      <c r="M50" s="70" cm="1">
        <f t="array" ref="M50">SUMPRODUCT(ABS('7'!$O71:$U71-'7'!$O$68:$U$68))</f>
        <v>4</v>
      </c>
      <c r="N50" s="70" cm="1">
        <f t="array" ref="N50">SUMPRODUCT(ABS('7'!$O71:$U71-'7'!$O$69:$U$69))</f>
        <v>4</v>
      </c>
      <c r="O50" s="70" cm="1">
        <f t="array" ref="O50">SUMPRODUCT(ABS('7'!$O71:$U71-'7'!$O$70:$U$70))</f>
        <v>3</v>
      </c>
      <c r="P50" s="134" cm="1">
        <f t="array" ref="P50">SUMPRODUCT(ABS('7'!$O71:$U71-'7'!$O$71:$U$71))</f>
        <v>0</v>
      </c>
      <c r="Q50" s="70" cm="1">
        <f t="array" ref="Q50">SUMPRODUCT(ABS('7'!$O71:$U71-'7'!$O$72:$U$72))</f>
        <v>3</v>
      </c>
    </row>
    <row r="51" spans="1:17" x14ac:dyDescent="0.35">
      <c r="A51" s="136">
        <v>15</v>
      </c>
      <c r="B51" s="70" cm="1">
        <f t="array" ref="B51">SUMPRODUCT(ABS('7'!O72:U72-'7'!$O$57:$U$57))</f>
        <v>7</v>
      </c>
      <c r="C51" s="70" cm="1">
        <f t="array" ref="C51">SUMPRODUCT(ABS('7'!$O72:$U72-'7'!$O$58:$U$58))</f>
        <v>4</v>
      </c>
      <c r="D51" s="70" cm="1">
        <f t="array" ref="D51">SUMPRODUCT(ABS('7'!$O72:$U72-'7'!$O$59:$U$59))</f>
        <v>3</v>
      </c>
      <c r="E51" s="70" cm="1">
        <f t="array" ref="E51">SUMPRODUCT(ABS('7'!$O72:$U72-'7'!$O$60:$U$60))</f>
        <v>4</v>
      </c>
      <c r="F51" s="70" cm="1">
        <f t="array" ref="F51">SUMPRODUCT(ABS('7'!$O72:$U72-'7'!$O$61:$U$61))</f>
        <v>4</v>
      </c>
      <c r="G51" s="70" cm="1">
        <f t="array" ref="G51">SUMPRODUCT(ABS('7'!$O72:$U72-'7'!$O$62:$U$62))</f>
        <v>3</v>
      </c>
      <c r="H51" s="70" cm="1">
        <f t="array" ref="H51">SUMPRODUCT(ABS('7'!$O72:$U72-'7'!$O$63:$U$63))</f>
        <v>4</v>
      </c>
      <c r="I51" s="70" cm="1">
        <f t="array" ref="I51">SUMPRODUCT(ABS('7'!$O72:$U72-'7'!$O$64:$U$64))</f>
        <v>3</v>
      </c>
      <c r="J51" s="70" cm="1">
        <f t="array" ref="J51">SUMPRODUCT(ABS('7'!$O72:$U72-'7'!$O$65:$U$65))</f>
        <v>4</v>
      </c>
      <c r="K51" s="70" cm="1">
        <f t="array" ref="K51">SUMPRODUCT(ABS('7'!$O72:$U72-'7'!$O$66:$U$66))</f>
        <v>3</v>
      </c>
      <c r="L51" s="70" cm="1">
        <f t="array" ref="L51">SUMPRODUCT(ABS('7'!$O72:$U72-'7'!$O$67:$U$67))</f>
        <v>4</v>
      </c>
      <c r="M51" s="70" cm="1">
        <f t="array" ref="M51">SUMPRODUCT(ABS('7'!$O72:$U72-'7'!$O$68:$U$68))</f>
        <v>3</v>
      </c>
      <c r="N51" s="70" cm="1">
        <f t="array" ref="N51">SUMPRODUCT(ABS('7'!$O72:$U72-'7'!$O$69:$U$69))</f>
        <v>3</v>
      </c>
      <c r="O51" s="70" cm="1">
        <f t="array" ref="O51">SUMPRODUCT(ABS('7'!$O72:$U72-'7'!$O$70:$U$70))</f>
        <v>4</v>
      </c>
      <c r="P51" s="70" cm="1">
        <f t="array" ref="P51">SUMPRODUCT(ABS('7'!$O72:$U72-'7'!$O$71:$U$71))</f>
        <v>3</v>
      </c>
      <c r="Q51" s="134" cm="1">
        <f t="array" ref="Q51">SUMPRODUCT(ABS('7'!$O72:$U72-'7'!$O$72:$U$72))</f>
        <v>0</v>
      </c>
    </row>
    <row r="52" spans="1:17" x14ac:dyDescent="0.35">
      <c r="P52" s="58"/>
      <c r="Q52" s="58"/>
    </row>
    <row r="53" spans="1:17" x14ac:dyDescent="0.35">
      <c r="A53" s="58" t="s">
        <v>144</v>
      </c>
      <c r="D53" s="138">
        <v>10</v>
      </c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</row>
    <row r="54" spans="1:17" x14ac:dyDescent="0.35">
      <c r="A54" s="58" t="s">
        <v>150</v>
      </c>
      <c r="D54" s="138">
        <f>MOD(D53,12)</f>
        <v>10</v>
      </c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</row>
    <row r="55" spans="1:17" x14ac:dyDescent="0.35">
      <c r="A55" s="58" t="s">
        <v>149</v>
      </c>
      <c r="C55" s="58"/>
      <c r="D55" s="130" t="str">
        <f>INDEX(B4:B19,D54+1)</f>
        <v>1010001</v>
      </c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</row>
    <row r="56" spans="1:17" x14ac:dyDescent="0.35">
      <c r="A56" s="133" t="s">
        <v>102</v>
      </c>
      <c r="B56" s="133" t="s">
        <v>103</v>
      </c>
      <c r="C56" s="133" t="s">
        <v>134</v>
      </c>
      <c r="D56" s="133" t="s">
        <v>105</v>
      </c>
      <c r="E56" s="133" t="s">
        <v>106</v>
      </c>
      <c r="F56" s="133" t="s">
        <v>107</v>
      </c>
      <c r="G56" s="58"/>
      <c r="H56" s="63" t="str">
        <f>'7'!A2</f>
        <v>Биты полинома g3 g2 g1 g0</v>
      </c>
      <c r="I56" s="58"/>
      <c r="J56" s="58"/>
      <c r="L56" s="134">
        <f>'7'!J2</f>
        <v>1</v>
      </c>
      <c r="M56" s="134">
        <f>'7'!K2</f>
        <v>1</v>
      </c>
      <c r="N56" s="134">
        <f>'7'!L2</f>
        <v>0</v>
      </c>
      <c r="O56" s="134">
        <f>'7'!M2</f>
        <v>1</v>
      </c>
      <c r="P56" s="58"/>
      <c r="Q56" s="58"/>
    </row>
    <row r="57" spans="1:17" x14ac:dyDescent="0.35">
      <c r="A57" s="136">
        <v>1</v>
      </c>
      <c r="B57" s="70" t="str">
        <f t="shared" ref="B57:B63" si="5">MID($D$55,A57,1)</f>
        <v>1</v>
      </c>
      <c r="C57" s="70">
        <v>0</v>
      </c>
      <c r="D57" s="70">
        <v>0</v>
      </c>
      <c r="E57" s="70">
        <v>0</v>
      </c>
      <c r="F57" s="70">
        <f>MOD(B57,2)</f>
        <v>1</v>
      </c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</row>
    <row r="58" spans="1:17" x14ac:dyDescent="0.35">
      <c r="A58" s="136">
        <v>2</v>
      </c>
      <c r="B58" s="70" t="str">
        <f t="shared" si="5"/>
        <v>0</v>
      </c>
      <c r="C58" s="70">
        <f>D57</f>
        <v>0</v>
      </c>
      <c r="D58" s="70">
        <f t="shared" ref="D58:D63" si="6">MOD(E57+D57*M$56,2)</f>
        <v>0</v>
      </c>
      <c r="E58" s="70">
        <f t="shared" ref="E58:E63" si="7">MOD(F57+D57*N$56,2)</f>
        <v>1</v>
      </c>
      <c r="F58" s="70">
        <f t="shared" ref="F58:F63" si="8">MOD(B58+D57*O$56,2)</f>
        <v>0</v>
      </c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</row>
    <row r="59" spans="1:17" x14ac:dyDescent="0.35">
      <c r="A59" s="136">
        <v>3</v>
      </c>
      <c r="B59" s="70" t="str">
        <f t="shared" si="5"/>
        <v>1</v>
      </c>
      <c r="C59" s="70">
        <f t="shared" ref="C59:C63" si="9">D58</f>
        <v>0</v>
      </c>
      <c r="D59" s="70">
        <f t="shared" si="6"/>
        <v>1</v>
      </c>
      <c r="E59" s="70">
        <f t="shared" si="7"/>
        <v>0</v>
      </c>
      <c r="F59" s="70">
        <f t="shared" si="8"/>
        <v>1</v>
      </c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</row>
    <row r="60" spans="1:17" x14ac:dyDescent="0.35">
      <c r="A60" s="136">
        <v>4</v>
      </c>
      <c r="B60" s="70" t="str">
        <f t="shared" si="5"/>
        <v>0</v>
      </c>
      <c r="C60" s="70">
        <f t="shared" si="9"/>
        <v>1</v>
      </c>
      <c r="D60" s="70">
        <f t="shared" si="6"/>
        <v>1</v>
      </c>
      <c r="E60" s="70">
        <f t="shared" si="7"/>
        <v>1</v>
      </c>
      <c r="F60" s="70">
        <f t="shared" si="8"/>
        <v>1</v>
      </c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</row>
    <row r="61" spans="1:17" x14ac:dyDescent="0.35">
      <c r="A61" s="136">
        <v>5</v>
      </c>
      <c r="B61" s="70" t="str">
        <f t="shared" si="5"/>
        <v>0</v>
      </c>
      <c r="C61" s="70">
        <f t="shared" si="9"/>
        <v>1</v>
      </c>
      <c r="D61" s="70">
        <f t="shared" si="6"/>
        <v>0</v>
      </c>
      <c r="E61" s="70">
        <f t="shared" si="7"/>
        <v>1</v>
      </c>
      <c r="F61" s="70">
        <f t="shared" si="8"/>
        <v>1</v>
      </c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</row>
    <row r="62" spans="1:17" x14ac:dyDescent="0.35">
      <c r="A62" s="136">
        <v>6</v>
      </c>
      <c r="B62" s="70" t="str">
        <f t="shared" si="5"/>
        <v>0</v>
      </c>
      <c r="C62" s="70">
        <f t="shared" si="9"/>
        <v>0</v>
      </c>
      <c r="D62" s="70">
        <f t="shared" si="6"/>
        <v>1</v>
      </c>
      <c r="E62" s="70">
        <f t="shared" si="7"/>
        <v>1</v>
      </c>
      <c r="F62" s="70">
        <f t="shared" si="8"/>
        <v>0</v>
      </c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</row>
    <row r="63" spans="1:17" x14ac:dyDescent="0.35">
      <c r="A63" s="136">
        <v>7</v>
      </c>
      <c r="B63" s="70" t="str">
        <f t="shared" si="5"/>
        <v>1</v>
      </c>
      <c r="C63" s="70">
        <f t="shared" si="9"/>
        <v>1</v>
      </c>
      <c r="D63" s="137">
        <f t="shared" si="6"/>
        <v>0</v>
      </c>
      <c r="E63" s="137">
        <f t="shared" si="7"/>
        <v>0</v>
      </c>
      <c r="F63" s="137">
        <f t="shared" si="8"/>
        <v>0</v>
      </c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</row>
    <row r="64" spans="1:17" x14ac:dyDescent="0.35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</row>
    <row r="65" spans="1:17" x14ac:dyDescent="0.35">
      <c r="A65" s="74" t="s">
        <v>145</v>
      </c>
      <c r="C65" s="137" t="str">
        <f>D63&amp;E63&amp;F63</f>
        <v>000</v>
      </c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</row>
    <row r="66" spans="1:17" x14ac:dyDescent="0.35">
      <c r="J66" s="58"/>
      <c r="K66" s="58"/>
      <c r="L66" s="58"/>
      <c r="M66" s="58"/>
      <c r="N66" s="58"/>
      <c r="O66" s="58"/>
      <c r="P66" s="58"/>
      <c r="Q66" s="58"/>
    </row>
    <row r="67" spans="1:17" x14ac:dyDescent="0.35">
      <c r="A67" s="74" t="s">
        <v>147</v>
      </c>
      <c r="B67" s="58"/>
      <c r="C67" s="58"/>
      <c r="D67" s="58"/>
      <c r="J67" s="58"/>
      <c r="K67" s="58"/>
      <c r="L67" s="58"/>
      <c r="M67" s="58"/>
      <c r="N67" s="58"/>
      <c r="O67" s="58"/>
      <c r="P67" s="58"/>
      <c r="Q67" s="58"/>
    </row>
    <row r="68" spans="1:17" x14ac:dyDescent="0.35">
      <c r="A68" s="58" t="s">
        <v>146</v>
      </c>
      <c r="D68" s="131" t="str">
        <f>LEFT(D55,2)&amp;(1-MID(D55,3,1))&amp;RIGHT(D55,4)</f>
        <v>1000001</v>
      </c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</row>
    <row r="69" spans="1:17" x14ac:dyDescent="0.35">
      <c r="A69" s="133" t="s">
        <v>102</v>
      </c>
      <c r="B69" s="133" t="s">
        <v>103</v>
      </c>
      <c r="C69" s="133" t="s">
        <v>134</v>
      </c>
      <c r="D69" s="133" t="s">
        <v>105</v>
      </c>
      <c r="E69" s="133" t="s">
        <v>106</v>
      </c>
      <c r="F69" s="133" t="s">
        <v>107</v>
      </c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</row>
    <row r="70" spans="1:17" x14ac:dyDescent="0.35">
      <c r="A70" s="136">
        <v>1</v>
      </c>
      <c r="B70" s="70" t="str">
        <f t="shared" ref="B70:B76" si="10">MID($D$68,A70,1)</f>
        <v>1</v>
      </c>
      <c r="C70" s="70">
        <v>0</v>
      </c>
      <c r="D70" s="70">
        <v>0</v>
      </c>
      <c r="E70" s="70">
        <v>0</v>
      </c>
      <c r="F70" s="70">
        <f>MOD(B70,2)</f>
        <v>1</v>
      </c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</row>
    <row r="71" spans="1:17" x14ac:dyDescent="0.35">
      <c r="A71" s="136">
        <v>2</v>
      </c>
      <c r="B71" s="70" t="str">
        <f t="shared" si="10"/>
        <v>0</v>
      </c>
      <c r="C71" s="70">
        <f>D70</f>
        <v>0</v>
      </c>
      <c r="D71" s="70">
        <f t="shared" ref="D71:D76" si="11">MOD(E70+D70*M$56,2)</f>
        <v>0</v>
      </c>
      <c r="E71" s="70">
        <f t="shared" ref="E71:E76" si="12">MOD(F70+D70*N$56,2)</f>
        <v>1</v>
      </c>
      <c r="F71" s="70">
        <f t="shared" ref="F71:F76" si="13">MOD(B71+D70*O$56,2)</f>
        <v>0</v>
      </c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</row>
    <row r="72" spans="1:17" x14ac:dyDescent="0.35">
      <c r="A72" s="136">
        <v>3</v>
      </c>
      <c r="B72" s="70" t="str">
        <f t="shared" si="10"/>
        <v>0</v>
      </c>
      <c r="C72" s="70">
        <f t="shared" ref="C72:C76" si="14">D71</f>
        <v>0</v>
      </c>
      <c r="D72" s="70">
        <f t="shared" si="11"/>
        <v>1</v>
      </c>
      <c r="E72" s="70">
        <f t="shared" si="12"/>
        <v>0</v>
      </c>
      <c r="F72" s="70">
        <f t="shared" si="13"/>
        <v>0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</row>
    <row r="73" spans="1:17" x14ac:dyDescent="0.35">
      <c r="A73" s="136">
        <v>4</v>
      </c>
      <c r="B73" s="70" t="str">
        <f t="shared" si="10"/>
        <v>0</v>
      </c>
      <c r="C73" s="70">
        <f t="shared" si="14"/>
        <v>1</v>
      </c>
      <c r="D73" s="70">
        <f t="shared" si="11"/>
        <v>1</v>
      </c>
      <c r="E73" s="70">
        <f t="shared" si="12"/>
        <v>0</v>
      </c>
      <c r="F73" s="70">
        <f t="shared" si="13"/>
        <v>1</v>
      </c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</row>
    <row r="74" spans="1:17" x14ac:dyDescent="0.35">
      <c r="A74" s="136">
        <v>5</v>
      </c>
      <c r="B74" s="70" t="str">
        <f t="shared" si="10"/>
        <v>0</v>
      </c>
      <c r="C74" s="70">
        <f t="shared" si="14"/>
        <v>1</v>
      </c>
      <c r="D74" s="70">
        <f t="shared" si="11"/>
        <v>1</v>
      </c>
      <c r="E74" s="70">
        <f t="shared" si="12"/>
        <v>1</v>
      </c>
      <c r="F74" s="70">
        <f t="shared" si="13"/>
        <v>1</v>
      </c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</row>
    <row r="75" spans="1:17" x14ac:dyDescent="0.35">
      <c r="A75" s="136">
        <v>6</v>
      </c>
      <c r="B75" s="70" t="str">
        <f t="shared" si="10"/>
        <v>0</v>
      </c>
      <c r="C75" s="70">
        <f t="shared" si="14"/>
        <v>1</v>
      </c>
      <c r="D75" s="70">
        <f t="shared" si="11"/>
        <v>0</v>
      </c>
      <c r="E75" s="70">
        <f t="shared" si="12"/>
        <v>1</v>
      </c>
      <c r="F75" s="70">
        <f t="shared" si="13"/>
        <v>1</v>
      </c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</row>
    <row r="76" spans="1:17" x14ac:dyDescent="0.35">
      <c r="A76" s="136">
        <v>7</v>
      </c>
      <c r="B76" s="70" t="str">
        <f t="shared" si="10"/>
        <v>1</v>
      </c>
      <c r="C76" s="70">
        <f t="shared" si="14"/>
        <v>0</v>
      </c>
      <c r="D76" s="137">
        <f t="shared" si="11"/>
        <v>1</v>
      </c>
      <c r="E76" s="137">
        <f t="shared" si="12"/>
        <v>1</v>
      </c>
      <c r="F76" s="137">
        <f t="shared" si="13"/>
        <v>1</v>
      </c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</row>
    <row r="77" spans="1:17" x14ac:dyDescent="0.35">
      <c r="A77" s="58"/>
      <c r="B77" s="58"/>
      <c r="C77" s="58"/>
      <c r="D77" s="58"/>
      <c r="E77" s="58"/>
      <c r="F77" s="58"/>
      <c r="G77" s="58"/>
      <c r="H77" s="58"/>
      <c r="I77" s="58"/>
    </row>
    <row r="78" spans="1:17" x14ac:dyDescent="0.35">
      <c r="A78" s="74" t="s">
        <v>95</v>
      </c>
      <c r="C78" s="137" t="str">
        <f>D76&amp;E76&amp;F76</f>
        <v>111</v>
      </c>
      <c r="D78" s="58" t="s">
        <v>148</v>
      </c>
      <c r="E78" s="58"/>
      <c r="F78" s="58"/>
      <c r="G78" s="58"/>
      <c r="H78" s="58"/>
      <c r="I78" s="58"/>
    </row>
    <row r="79" spans="1:17" x14ac:dyDescent="0.35">
      <c r="A79" s="58"/>
      <c r="B79" s="58"/>
      <c r="C79" s="58"/>
      <c r="D79" s="58"/>
      <c r="E79" s="58"/>
      <c r="F79" s="58"/>
      <c r="G79" s="58"/>
      <c r="H79" s="58"/>
      <c r="I79" s="58"/>
    </row>
  </sheetData>
  <mergeCells count="1">
    <mergeCell ref="E2:E3"/>
  </mergeCells>
  <conditionalFormatting sqref="B36:Q5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C786-8B0D-49A0-AAFC-07DC08A98CE1}">
  <dimension ref="A1"/>
  <sheetViews>
    <sheetView tabSelected="1" workbookViewId="0"/>
  </sheetViews>
  <sheetFormatPr defaultRowHeight="18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4</vt:lpstr>
      <vt:lpstr>5</vt:lpstr>
      <vt:lpstr>6</vt:lpstr>
      <vt:lpstr>7</vt:lpstr>
      <vt:lpstr>8</vt:lpstr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Кузнецов</dc:creator>
  <cp:lastModifiedBy>Алексей Кузнецов</cp:lastModifiedBy>
  <dcterms:created xsi:type="dcterms:W3CDTF">2026-09-19T12:13:35Z</dcterms:created>
  <dcterms:modified xsi:type="dcterms:W3CDTF">2026-10-21T09:56:37Z</dcterms:modified>
</cp:coreProperties>
</file>